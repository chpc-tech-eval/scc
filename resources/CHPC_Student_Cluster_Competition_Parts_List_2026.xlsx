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namedSheetViews/namedSheetView1.xml" ContentType="application/vnd.ms-excel.namedsheetviews+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hpe-my.sharepoint.com/personal/ntuli_hpe_com/Documents/Downloads FY2026/CSIR CHPC Student Cluster 2026/"/>
    </mc:Choice>
  </mc:AlternateContent>
  <xr:revisionPtr revIDLastSave="0" documentId="8_{397F30BA-23C6-48E6-A636-D2979914AF2F}" xr6:coauthVersionLast="47" xr6:coauthVersionMax="47" xr10:uidLastSave="{00000000-0000-0000-0000-000000000000}"/>
  <bookViews>
    <workbookView xWindow="-120" yWindow="-120" windowWidth="29040" windowHeight="15720" xr2:uid="{F478679D-D843-4399-992D-797380CB1E2A}"/>
  </bookViews>
  <sheets>
    <sheet name="DL320 Gen12" sheetId="1" r:id="rId1"/>
    <sheet name="DL325 Gen12 " sheetId="2" r:id="rId2"/>
    <sheet name="DL340 Gen12" sheetId="7" r:id="rId3"/>
    <sheet name="DL345 Gen12" sheetId="3" r:id="rId4"/>
    <sheet name="DL360 Gen12" sheetId="16" r:id="rId5"/>
    <sheet name="DL365 Gen11" sheetId="19" r:id="rId6"/>
    <sheet name="DL380 Gen12" sheetId="17" r:id="rId7"/>
    <sheet name="DL385 Gen11" sheetId="18" r:id="rId8"/>
    <sheet name="Networking Aruba CX-Series" sheetId="20" r:id="rId9"/>
  </sheets>
  <definedNames>
    <definedName name="_xlnm._FilterDatabase" localSheetId="7" hidden="1">'DL385 Gen11'!$A$20:$D$21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1" l="1"/>
  <c r="D52" i="20"/>
  <c r="D51" i="20"/>
  <c r="D50" i="20"/>
  <c r="D49" i="20"/>
  <c r="D48" i="20"/>
  <c r="D47" i="20"/>
  <c r="D46" i="20"/>
  <c r="D45" i="20"/>
  <c r="D44" i="20"/>
  <c r="D43" i="20"/>
  <c r="D42" i="20"/>
  <c r="D39" i="20"/>
  <c r="D38" i="20"/>
  <c r="D37" i="20"/>
  <c r="D34" i="20"/>
  <c r="D33" i="20"/>
  <c r="D32" i="20"/>
  <c r="D29" i="20"/>
  <c r="D28" i="20"/>
  <c r="D27" i="20"/>
  <c r="D30" i="18"/>
  <c r="D29" i="18"/>
  <c r="D28" i="18"/>
  <c r="D27" i="18"/>
  <c r="D26" i="18"/>
  <c r="D25" i="18"/>
  <c r="D24" i="18"/>
  <c r="D23" i="18"/>
  <c r="D27" i="17"/>
  <c r="D26" i="17"/>
  <c r="D25" i="17"/>
  <c r="D24" i="17"/>
  <c r="D23" i="17"/>
  <c r="D22" i="17"/>
  <c r="D26" i="19"/>
  <c r="D25" i="19"/>
  <c r="D24" i="19"/>
  <c r="D23" i="19"/>
  <c r="D22" i="19"/>
  <c r="D21" i="19"/>
  <c r="D20" i="19"/>
  <c r="D19" i="19"/>
  <c r="D24" i="16"/>
  <c r="D23" i="16"/>
  <c r="D22" i="16"/>
  <c r="D21" i="16"/>
  <c r="D20" i="16"/>
  <c r="D19" i="16"/>
  <c r="F70" i="1"/>
  <c r="E25" i="3"/>
  <c r="E24" i="3"/>
  <c r="E23" i="3"/>
  <c r="E22" i="3"/>
  <c r="E21" i="3"/>
  <c r="E20" i="3"/>
  <c r="E28" i="2"/>
  <c r="E27" i="2"/>
  <c r="E26" i="2"/>
  <c r="E25" i="2"/>
  <c r="E24" i="2"/>
  <c r="E23" i="2"/>
  <c r="F68" i="1"/>
  <c r="F69" i="1"/>
  <c r="F67" i="1"/>
  <c r="F44" i="1"/>
  <c r="F35" i="1"/>
  <c r="F36" i="1"/>
  <c r="F57" i="1"/>
  <c r="F58" i="1"/>
  <c r="F59" i="1"/>
  <c r="F60" i="1"/>
  <c r="F56" i="1"/>
  <c r="F45" i="1"/>
  <c r="F46" i="1"/>
  <c r="F47" i="1"/>
  <c r="F48" i="1"/>
</calcChain>
</file>

<file path=xl/sharedStrings.xml><?xml version="1.0" encoding="utf-8"?>
<sst xmlns="http://schemas.openxmlformats.org/spreadsheetml/2006/main" count="921" uniqueCount="258">
  <si>
    <t>HPE ProLiant DL320 Gen12, A compact 1U, single-socket server designed for efficient, right-sized compute in edge and cloud environments, including IaaS and cloud-native workloads. Powered by Intel® Xeon® 6 processors with up to 144 cores, it delivers up to 4 TB memory, PCIe Gen5 performance, and rich I/O flexibility. Supporting up to 20 EDSFF drives and GPU acceleration (up to four single-wide or two double-wide GPUs), it offers high performance with lower energy consumption than dual-socket systems. Ideal for virtualized and containerized workloads requiring strong performance in a dense, energy-efficient form factor.</t>
  </si>
  <si>
    <t>Qty</t>
  </si>
  <si>
    <t>Code on Sage</t>
  </si>
  <si>
    <t>DESCRIPTION</t>
  </si>
  <si>
    <t>Selling Price</t>
  </si>
  <si>
    <t>SCC Price</t>
  </si>
  <si>
    <t>Server Base - Single CPU 1U Rack Server</t>
  </si>
  <si>
    <t>P71437-B21</t>
  </si>
  <si>
    <t>HPE ProLiant Compute DL320 Gen12 SFF Configure-to-order Server</t>
  </si>
  <si>
    <r>
      <t>This is a base component server that does not include a CPU, memory, drives, network adapters, or power supplies. It comes equipped only with management software (</t>
    </r>
    <r>
      <rPr>
        <b/>
        <sz val="11"/>
        <color rgb="FFFF0000"/>
        <rFont val="Aptos Narrow"/>
        <family val="2"/>
        <scheme val="minor"/>
      </rPr>
      <t>iLO Advanced</t>
    </r>
    <r>
      <rPr>
        <sz val="11"/>
        <color rgb="FFFF0000"/>
        <rFont val="Aptos Narrow"/>
        <family val="2"/>
        <scheme val="minor"/>
      </rPr>
      <t xml:space="preserve"> and </t>
    </r>
    <r>
      <rPr>
        <b/>
        <sz val="11"/>
        <color rgb="FFFF0000"/>
        <rFont val="Aptos Narrow"/>
        <family val="2"/>
        <scheme val="minor"/>
      </rPr>
      <t>ComputeOps Manager)</t>
    </r>
    <r>
      <rPr>
        <sz val="11"/>
        <color rgb="FFFF0000"/>
        <rFont val="Aptos Narrow"/>
        <family val="2"/>
        <scheme val="minor"/>
      </rPr>
      <t>. Components required to make the server operational can be selected and configured separately below to make it a workable server.</t>
    </r>
  </si>
  <si>
    <t>Total Price</t>
  </si>
  <si>
    <t>1</t>
  </si>
  <si>
    <t> P74506-B21</t>
  </si>
  <si>
    <t>Intel Xeon 6515P 2.3GHz 16-core 150W Processor for HPE</t>
  </si>
  <si>
    <t> P71117-B21</t>
  </si>
  <si>
    <t>Intel Xeon 6710E 2.4GHz 64-core 205W Processor for HPE</t>
  </si>
  <si>
    <t> P74505-B21</t>
  </si>
  <si>
    <t>Intel Xeon 6511P 2.3GHz 16-core 150W Processor for HPE</t>
  </si>
  <si>
    <t>P74507-B21</t>
  </si>
  <si>
    <t>Intel Xeon 6517P 3.2GHz 16-core 190W Processor for HPE</t>
  </si>
  <si>
    <t>P74568-B21</t>
  </si>
  <si>
    <t>Intel Xeon 6520P 2.4GHz 24-core 210W Processor for HPE</t>
  </si>
  <si>
    <t>HPE 32GB (1x32GB) Dual Rank x8 DDR5-6400 CAS-52-52-52 EC8 Registered Smart FIO Memory Kit</t>
  </si>
  <si>
    <t>P69729-B21</t>
  </si>
  <si>
    <t>HPE 96GB (1x96GB) Dual Rank x4 DDR5-6400 CAS-52-52-52 EC8 Registered Smart Memory Kit</t>
  </si>
  <si>
    <t> P69728-B21</t>
  </si>
  <si>
    <t>HPE 64GB (1x64GB) Dual Rank x4 DDR5-6400 CAS-52-52-52 EC8 Registered Smart Memory Kit</t>
  </si>
  <si>
    <t>The following are the available drive options that can be selected for the above base.</t>
  </si>
  <si>
    <t> P40502-B21</t>
  </si>
  <si>
    <t>HPE 480GB SATA 6G Mixed Use SFF BC Multi Vendor SSD</t>
  </si>
  <si>
    <t> P40503-B21</t>
  </si>
  <si>
    <t>HPE 960GB SATA 6G Mixed Use SFF BC Multi Vendor SSD</t>
  </si>
  <si>
    <t>P26253-B21</t>
  </si>
  <si>
    <t>Broadcom BCM57416 Ethernet 10Gb 2-port BASE-T Adapter for HPE</t>
  </si>
  <si>
    <t> P26259-B21</t>
  </si>
  <si>
    <t>Broadcom BCM57412 Ethernet 10Gb 2-port SFP+ Adapter for HPE</t>
  </si>
  <si>
    <t> P26262-B21</t>
  </si>
  <si>
    <t>Broadcom BCM57414 Ethernet 10/25Gb 2-port SFP28 Adapter for HPE</t>
  </si>
  <si>
    <t> P51178-B21</t>
  </si>
  <si>
    <t>Broadcom BCM5719 Ethernet 1Gb 4-port BASE-T Adapter for HPE</t>
  </si>
  <si>
    <t> P26264-B21</t>
  </si>
  <si>
    <t>Broadcom BCM57504 Ethernet 10/25Gb 4-port SFP28 Adapter for HPE</t>
  </si>
  <si>
    <t>Different types of Power Supplies for the server base above. Recommended two for redundancy.</t>
  </si>
  <si>
    <t> P73190-B21</t>
  </si>
  <si>
    <t>HPE 800W M-CRPS Platinum Hot Plug Power Supply Kit</t>
  </si>
  <si>
    <t>P67240-B21</t>
  </si>
  <si>
    <t>HPE 1000W M-CRPS Titanium Hot Plug Power Supply Kit</t>
  </si>
  <si>
    <t> P67244-B21</t>
  </si>
  <si>
    <t>HPE 1500W M-CRPS Titanium Hot Plug Power Supply Kit</t>
  </si>
  <si>
    <t> P67252-B21</t>
  </si>
  <si>
    <t>HPE 2400W M-CRPS Titanium Hot Plug Power Supply Kit</t>
  </si>
  <si>
    <t>We have two Power Cords. One for Universal and One for South African Kattle plugs</t>
  </si>
  <si>
    <t>Power Cord for the Server</t>
  </si>
  <si>
    <t>  AF567A</t>
  </si>
  <si>
    <t>HPE C13 - SABS-164 ZA 250V 10Amp 2.5m Power Cord</t>
  </si>
  <si>
    <t>1,021.00</t>
  </si>
  <si>
    <t>  AF573A</t>
  </si>
  <si>
    <t xml:space="preserve">	HPE C13 - C14 WW 250V 10Amp Flint Gray 2.0m Jumper Cord</t>
  </si>
  <si>
    <t>720.00</t>
  </si>
  <si>
    <t>HPE C13 - C14 WW 250V 10Amp Flint Gray 2.0m Jumper Cord</t>
  </si>
  <si>
    <t>HPE ProLiant DL325 Gen12,A compact 1U, single-socket server optimized for virtualization and performance in power-constrained environments. Powered by 5th Gen AMD EPYC™ processors with up to 192 cores, it delivers increased memory capacity (up to 6 TB), enhanced rack efficiency, and integrated iLO 7 for advanced management. Ideal for organizations seeking high compute density and efficient resource utilization for modern data</t>
  </si>
  <si>
    <t>P71964-B21</t>
  </si>
  <si>
    <t>Total</t>
  </si>
  <si>
    <t>Processors - Single CPU For the DL325</t>
  </si>
  <si>
    <t xml:space="preserve"> P72661-B21</t>
  </si>
  <si>
    <t>AMD EPYC 9015 3.6GHz 8-core 125W Processor for HPE</t>
  </si>
  <si>
    <t> P72659-B21</t>
  </si>
  <si>
    <t>AMD EPYC 9115 2.6GHz 16-core 125W Processor for HPE</t>
  </si>
  <si>
    <t> P72660-B21</t>
  </si>
  <si>
    <t>AMD EPYC 9135 3.65GHz 16-core 200W Processor for HPE</t>
  </si>
  <si>
    <t>P72658-B21</t>
  </si>
  <si>
    <t>AMD EPYC 9255 3.20GHz 24-core 200W Processor for HPE</t>
  </si>
  <si>
    <t>P72665-B21</t>
  </si>
  <si>
    <t>AMD EPYC 9355P 3.55GHz 32-core 280W Processor for HPE</t>
  </si>
  <si>
    <t>P72656-B21</t>
  </si>
  <si>
    <t>AMD EPYC 9335 3.0GHz 32-core 210W Processor for HPE</t>
  </si>
  <si>
    <t xml:space="preserve"> P64985-B21</t>
  </si>
  <si>
    <t xml:space="preserve">	HPE 32GB (1x32GB) Dual Rank x8 DDR5-6400 CAS-52-52-52 EC8 Registered Smart Memory Kit</t>
  </si>
  <si>
    <t xml:space="preserve"> P64986-B21</t>
  </si>
  <si>
    <t>P64987-B21</t>
  </si>
  <si>
    <t>These are the different types of Network cards that can be selected for this server. A Maximum of 2 x Network cards can be selected.</t>
  </si>
  <si>
    <t xml:space="preserve"> AF567A</t>
  </si>
  <si>
    <t xml:space="preserve">	HPE C13 - SABS-164 ZA 250V 10Amp 2.5m Power Cord</t>
  </si>
  <si>
    <t xml:space="preserve"> AF573A</t>
  </si>
  <si>
    <t>HPE ProLiant DL340 Gen12
A flexible 2U, single-socket server designed for scalable cloud and service-based workloads, including IaaS, PaaS, and SaaS. Featuring a modular 3-box front design, it supports SFF, LFF, and GPU configurations for enhanced deployment flexibility. Powered by Intel® Xeon® 6 processors with up to 144 cores, it delivers up to 4 TB memory capacity, PCIe Gen5 performance, and improved thermal efficiency. Ideal for data centers seeking versatile performance with optimized power consumption in a single-socket platform.</t>
  </si>
  <si>
    <t>Server Base - Single 1U Rack Server</t>
  </si>
  <si>
    <t>P52766-B21</t>
  </si>
  <si>
    <t>Processors - Single CPU For the DL340</t>
  </si>
  <si>
    <t>Memory - Maximum of x16 Memory For the DL340 Gen12</t>
  </si>
  <si>
    <t xml:space="preserve"> P69727-B21</t>
  </si>
  <si>
    <t>Recommendation: For optimal performance and compatibility, select the same type of memory modules and install them in even numbers. A Maximum of memory that can be selected is 16.</t>
  </si>
  <si>
    <t>P69728-B21</t>
  </si>
  <si>
    <t xml:space="preserve">	HPE 64GB (1x64GB) Dual Rank x4 DDR5-6400 CAS-52-52-52 EC8 Registered Smart Memory Kit</t>
  </si>
  <si>
    <t> P69729-B21</t>
  </si>
  <si>
    <t> P28586-B21</t>
  </si>
  <si>
    <t>HPE 1.2TB SAS 12G Mission Critical 10K SFF BC 3-year Warranty Multi Vendor HDD</t>
  </si>
  <si>
    <t>HPE 1.8TB SAS 12G Mission Critical 10K SFF BC 3-year Warranty 512e Multi Vendor HDD</t>
  </si>
  <si>
    <t> P28352-B21</t>
  </si>
  <si>
    <t>HPE 2.4TB SAS 12G Mission Critical 10K SFF BC 3-year Warranty 512e Multi Vendor HDD</t>
  </si>
  <si>
    <t>Network Card  - Maximum of Network Cards For the DL340</t>
  </si>
  <si>
    <t> P51181-B21</t>
  </si>
  <si>
    <t>Broadcom BCM5719 Ethernet 1Gb 4-port BASE-T OCP3 Adapter for HPE</t>
  </si>
  <si>
    <t>Broadcom BCM57412 Ethernet 10Gb 2-port SFP+ OCP3 Adapter for HPE</t>
  </si>
  <si>
    <t>Broadcom BCM57416 Ethernet 10Gb 2-port BASE-T OCP3 Adapter for HPE</t>
  </si>
  <si>
    <t> P10115-B21</t>
  </si>
  <si>
    <t>Broadcom BCM57414 Ethernet 10/25Gb 2-port SFP28 OCP3 Adapter for HPE</t>
  </si>
  <si>
    <t> AF567A</t>
  </si>
  <si>
    <t> AF573A</t>
  </si>
  <si>
    <t>HPE ProLiant DL345 Gen12,A scalable 2U, single-socket server designed for data-intensive and workload-optimized environments, including virtualization, software-defined storage (SDS), and data management. Powered by 5th Gen AMD EPYC™ processors with up to 192 cores, it offers up to 6 TB memory capacity, PCIe Gen5, flexible storage options (up to 12 LFF / 24 SFF / 36 EDSFF), and support for up to 4 double-width GPUs. Ideal for organizations seeking high performance and large storage capacity with single-socket efficiency.</t>
  </si>
  <si>
    <t>P81948-B21</t>
  </si>
  <si>
    <t>HPE ProLiant Compute DL345 Gen12 SFF/EDSFF CTO Server</t>
  </si>
  <si>
    <t>Processors - Single CPU For the DL345</t>
  </si>
  <si>
    <t>The following are the available CPU options compatible with the above base configuration. Please note that this server supports only a single CPU selection.</t>
  </si>
  <si>
    <t>Network Card  - Network Cards For the DL345</t>
  </si>
  <si>
    <t>Power Supply  - Maximum of x2 Power Supplies For the DL345</t>
  </si>
  <si>
    <t>Server Base - Dual 1U Rack Server</t>
  </si>
  <si>
    <t> P53712-B21</t>
  </si>
  <si>
    <t>AMD EPYC 9334 2.7GHz 32-core 210W Processor for HPE</t>
  </si>
  <si>
    <t>AMD EPYC 9224 2.5GHz 24-core 200W Processor for HPE</t>
  </si>
  <si>
    <t> P40430-B21</t>
  </si>
  <si>
    <t>HPE 300GB SAS 12G Mission Critical 10K SFF BC 3-year Warranty Multi Vendor HDD</t>
  </si>
  <si>
    <t> P53561-B21</t>
  </si>
  <si>
    <t>HPE 600GB SAS 12G Mission Critical 10K SFF BC 3-year Warranty Multi Vendor HDD</t>
  </si>
  <si>
    <t> P10097-B21</t>
  </si>
  <si>
    <t> P26256-B21</t>
  </si>
  <si>
    <t> P08449-B21</t>
  </si>
  <si>
    <t>Intel I350-T4 Ethernet 1Gb 4-port BASE-T OCP3 Adapter for HPE</t>
  </si>
  <si>
    <t> P03178-B21</t>
  </si>
  <si>
    <t>HPE 1000W Flex Slot Titanium Hot Plug Power Supply Kit</t>
  </si>
  <si>
    <t> P38997-B21</t>
  </si>
  <si>
    <t>HPE 1600W Flex Slot Platinum Hot Plug Low Halogen Power Supply Kit</t>
  </si>
  <si>
    <t> P44712-B21</t>
  </si>
  <si>
    <t>HPE 1800W-2200W Flex Slot Titanium Hot Plug Power Supply Kit</t>
  </si>
  <si>
    <t> P38995-B21</t>
  </si>
  <si>
    <t>HPE 800W Flex Slot Platinum Hot Plug Low Halogen Power Supply Kit</t>
  </si>
  <si>
    <r>
      <t>This is a base component server that does not include a CPUs, memory, drives, network adapters, or power supplies. It comes equipped only with management software (</t>
    </r>
    <r>
      <rPr>
        <b/>
        <sz val="11"/>
        <color rgb="FFFF0000"/>
        <rFont val="Aptos Narrow"/>
        <family val="2"/>
        <scheme val="minor"/>
      </rPr>
      <t>iLO Advanced</t>
    </r>
    <r>
      <rPr>
        <sz val="11"/>
        <color rgb="FFFF0000"/>
        <rFont val="Aptos Narrow"/>
        <family val="2"/>
        <scheme val="minor"/>
      </rPr>
      <t xml:space="preserve"> and </t>
    </r>
    <r>
      <rPr>
        <b/>
        <sz val="11"/>
        <color rgb="FFFF0000"/>
        <rFont val="Aptos Narrow"/>
        <family val="2"/>
        <scheme val="minor"/>
      </rPr>
      <t>ComputeOps Manager)</t>
    </r>
    <r>
      <rPr>
        <sz val="11"/>
        <color rgb="FFFF0000"/>
        <rFont val="Aptos Narrow"/>
        <family val="2"/>
        <scheme val="minor"/>
      </rPr>
      <t>. Components required to make the server operational can be selected and configured separately below to make it a workable server.</t>
    </r>
  </si>
  <si>
    <t>Processors - Dual CPU For the DL360</t>
  </si>
  <si>
    <t>The following are the available CPU options compatible with the above base configuration. Please note that this server supports only a Dual CPU selection.</t>
  </si>
  <si>
    <t>Recommendation: For optimal performance and compatibility, select the same type of memory modules and install them in even numbers. A Maximum of memory that can be selected is 32.</t>
  </si>
  <si>
    <t>P72175-B21</t>
  </si>
  <si>
    <t>HPE ProLiant DL360 Gen12 8SFF NC Configure-to-order Server</t>
  </si>
  <si>
    <t>P40430-B21</t>
  </si>
  <si>
    <t>P38995-B21</t>
  </si>
  <si>
    <t>P38997-B21</t>
  </si>
  <si>
    <t>P03178-B21</t>
  </si>
  <si>
    <t>P44712-B21</t>
  </si>
  <si>
    <t>HPE ProLiant DL365 Gen11 a 1U, dual-socket server powered by AMD EPYC™ 9004 Series processors, delivering high core density, impressive energy efficiency, and optimized thermal design. Suitable for compute-heavy applications, virtual desktop infrastructure (VDI), and multi-tenant environments, especially where rack space is limited but performance is critical.</t>
  </si>
  <si>
    <t>Server Base - Dual 2U Rack Server</t>
  </si>
  <si>
    <t>P53933-B21</t>
  </si>
  <si>
    <t>HPE ProLiant DL365 Gen11 8SFF Configure-to-order Server</t>
  </si>
  <si>
    <t>Network Card  - Network Cards For the DL325</t>
  </si>
  <si>
    <t>P53702-B21</t>
  </si>
  <si>
    <t>AMD EPYC 9124 3.0GHz 16-core 200W Processor for HPE</t>
  </si>
  <si>
    <t>P58540-B21</t>
  </si>
  <si>
    <t>P53707-B21</t>
  </si>
  <si>
    <t>AMD EPYC 9254 2.9GHz 24-core 200W Processor for HPE</t>
  </si>
  <si>
    <t>P40502-B21</t>
  </si>
  <si>
    <t>Network Card  - Network Cards For the DL365</t>
  </si>
  <si>
    <t>Processors - Dual CPU For the DL380</t>
  </si>
  <si>
    <t>Network Card  - Maximum of Network Cards For the DL380</t>
  </si>
  <si>
    <t>Power Supply  - Maximum of x2 Power Supplies For the DL380</t>
  </si>
  <si>
    <t>P73282-B21</t>
  </si>
  <si>
    <t>HPE ProLiant Compute DL380 Gen12 SFF NC Configure-to-order Server</t>
  </si>
  <si>
    <t>Intel Xeon 6505P 2.2GHz 12-core 150W Processor for HPE</t>
  </si>
  <si>
    <t>HPE ProLiant DL385 Gen11 a 2U, dual-socket server with AMD EPYC™ 9004 Series processors, offering exceptional core density, broad memory bandwidth, and PCIe Gen5 expansion. Tailored for virtualized workloads, cloud infrastructure, and AI/ML applications, the DL385 Gen11 combines efficiency with robust performance, making it ideal for scalable deployments.</t>
  </si>
  <si>
    <t>P53921-B21</t>
  </si>
  <si>
    <t>HPE ProLiant DL385 Gen11 8SFF Configure-to-order Server</t>
  </si>
  <si>
    <t>Network Card  - Network Cards For the DL385</t>
  </si>
  <si>
    <t>Below are the various types of switches and cables available. The switch options include 1Gb Base-T, 10Gb Base-T, and 10Gb SFP+ configurations</t>
  </si>
  <si>
    <t>Aruba Neworking CX600 Switches</t>
  </si>
  <si>
    <t>Aruba Neworking CX6100 Switches</t>
  </si>
  <si>
    <t>JL679A</t>
  </si>
  <si>
    <t>HPE Aruba Networking CX 6100 12G Class4 PoE 2G/2SFP+ 139W Switch</t>
  </si>
  <si>
    <t>JL678A</t>
  </si>
  <si>
    <t>HPE Aruba Networking CX 6100 24G 4SFP+ Switch</t>
  </si>
  <si>
    <t>JL676A</t>
  </si>
  <si>
    <t>HPE Aruba Networking CX 6100 48G 4SFP+ Switch</t>
  </si>
  <si>
    <t>Aruba Neworking 2930F Switches</t>
  </si>
  <si>
    <t>JL693A</t>
  </si>
  <si>
    <t>HPE Aruba Networking 2930F 12G PoE+ 2G/2SFP+ Switch</t>
  </si>
  <si>
    <t>JL253A</t>
  </si>
  <si>
    <t>HPE Aruba Networking 2930F 24G 4SFP+ Switch</t>
  </si>
  <si>
    <t>JL254A</t>
  </si>
  <si>
    <t>HPE Aruba Networking 2930F 48G 4SFP+ Switch</t>
  </si>
  <si>
    <t>Networking Cables</t>
  </si>
  <si>
    <t>HPE Aruba Networking 1G SFP LC SX 500m OM2 MMF Transceiver</t>
  </si>
  <si>
    <t>HPE Aruba Networking 1G SFP RJ45 T 100m Cat5e Transceiver</t>
  </si>
  <si>
    <t> J8177E</t>
  </si>
  <si>
    <t>HPE Aruba Networking 1G SFP RJ45 100m Cat5e Transceiver</t>
  </si>
  <si>
    <t>HPE Aruba Networking 10G SFP+ LC SR 300m OM3 MMF Transceiver</t>
  </si>
  <si>
    <t>HPE Aruba Networking 10G SFP+ to SFP+ 1m Direct Attach Copper Cable</t>
  </si>
  <si>
    <t> J9283D</t>
  </si>
  <si>
    <t>HPE Aruba Networking 10G SFP+ to SFP+ 3m Direct Attach Copper Cable</t>
  </si>
  <si>
    <t> S2P30A</t>
  </si>
  <si>
    <t>HPE Aruba Networking 10G SR SFP+ LC 400m OM4 MMF C-Class Transceiver</t>
  </si>
  <si>
    <t> 487655-B21</t>
  </si>
  <si>
    <t>HPE BladeSystem c-Class 10GbE SFP+ to SFP+ 3m Direct Attach Copper Cable</t>
  </si>
  <si>
    <t> 537963-B21</t>
  </si>
  <si>
    <t>HPE BladeSystem c-Class 10GbE SFP+ to SFP+ 5m Direct Attach Copper Cable</t>
  </si>
  <si>
    <t>HPE Aruba Networking 10GBASE-T SFP+ RJ45 30m Cat6A Transceiver</t>
  </si>
  <si>
    <t> JL563C</t>
  </si>
  <si>
    <t>R8N85B</t>
  </si>
  <si>
    <t>HPE Aruba Networking CX 6000 48p 10M/100M/1G Class4 PoE 4p SFP 1G 370W Switch</t>
  </si>
  <si>
    <t>R8N87B</t>
  </si>
  <si>
    <t>HPE Aruba Networking CX 6000 24p 10M/100M/1G Class4 PoE 4p SFP 1G 370W Switch</t>
  </si>
  <si>
    <t>R8N89B</t>
  </si>
  <si>
    <t>HPE Aruba Networking CX 6000 12p 10M/100M/1G Class4 PoE 2p SFP 1G 139W Switch</t>
  </si>
  <si>
    <t xml:space="preserve"> J4858D</t>
  </si>
  <si>
    <t xml:space="preserve"> R9F87A</t>
  </si>
  <si>
    <t>J9150D</t>
  </si>
  <si>
    <t>J9281D</t>
  </si>
  <si>
    <t> R9F85A</t>
  </si>
  <si>
    <t xml:space="preserve">Processors - Single CPU For the DL20 </t>
  </si>
  <si>
    <r>
      <t> </t>
    </r>
    <r>
      <rPr>
        <sz val="11"/>
        <color rgb="FF000000"/>
        <rFont val="MetricHPE"/>
        <family val="2"/>
      </rPr>
      <t>P74503-B21</t>
    </r>
  </si>
  <si>
    <t xml:space="preserve">Memory - Maximum of x 16 Memory For the DL320 </t>
  </si>
  <si>
    <t>P53562-B21</t>
  </si>
  <si>
    <t>P28586-B21</t>
  </si>
  <si>
    <t>P28352-B21</t>
  </si>
  <si>
    <t>Drives  - Maximum of x 8 SSDs For the DL320</t>
  </si>
  <si>
    <t>Network Card  -  Network Cards For the DL320</t>
  </si>
  <si>
    <t xml:space="preserve">Memory - Maximum of x 24 Memory For the DL325 Gen12 </t>
  </si>
  <si>
    <t xml:space="preserve">Drives  - Maximum of x 8 SSDs For the DL325 </t>
  </si>
  <si>
    <t>Power Supply  - Maximum of x 2 Power Supplies For the DL325</t>
  </si>
  <si>
    <t>Power Supply  - Maximum of x 2 Power Supplies For the DL320</t>
  </si>
  <si>
    <t>Drives  - Maximum of x 8 Drives For the DL340</t>
  </si>
  <si>
    <t>Power Supply  - Maximum of x 2 Power Supplies For the DL340</t>
  </si>
  <si>
    <t xml:space="preserve">Memory - Maximum of x 24 Memory For the DL345 Gen12 </t>
  </si>
  <si>
    <t>Recommendation: For optimal performance and compatibility, select the same type of memory modules and install them in even numbers. A Maximum of memory that can be selected is 24.</t>
  </si>
  <si>
    <t>Drives  - Maximum of x 8 Drives For the DL345</t>
  </si>
  <si>
    <t>Drives  - Maximum of x 8 Drives For the DL360</t>
  </si>
  <si>
    <t>Network Card  - Network Cards For the DL360</t>
  </si>
  <si>
    <t xml:space="preserve">These are the different types of Network cards that can be selected for this server. </t>
  </si>
  <si>
    <t>Power Supply  - Maximum of x 2 Power Supplies For the DL360</t>
  </si>
  <si>
    <t>HPE ProLiant DL360 Gen12 a high-performance 1U, dual-socket server featuring 6th Gen Intel® Xeon® Scalable processors. Designed for enterprise workloads, it offers excellent compute density, memory scalability, and advanced security features. Ideal for virtualization, containers, web infrastructure, and hybrid cloud environments.</t>
  </si>
  <si>
    <t>Memory - Maximum of x 32 Memory For the DL360</t>
  </si>
  <si>
    <t>Processors - Dual CPU For the DL365</t>
  </si>
  <si>
    <t>Memory - Maximum of x 24 Memory For the DL365</t>
  </si>
  <si>
    <t>Drives  - Maximum of x 8 Drives For the DL365</t>
  </si>
  <si>
    <t>Power Supply  - Maximum of x 2 Power Supplies For the DL365</t>
  </si>
  <si>
    <t>Memory - Maximum of x 32 Memory For the DL380 Gen12</t>
  </si>
  <si>
    <t>Drives  - Maximum of x 8 Drives For the DL380</t>
  </si>
  <si>
    <t>Processors - Dual CPU For the DL385</t>
  </si>
  <si>
    <t xml:space="preserve">Memory - Maximum of x 24 Memory For the DL385 Gen11 </t>
  </si>
  <si>
    <t>Drives  - Maximum of x 8 Drives For the DL385</t>
  </si>
  <si>
    <t>Power Supply  - Maximum of x 2 Power Supplies For the DL385</t>
  </si>
  <si>
    <t>R 16,634.50</t>
  </si>
  <si>
    <t>R 23,280.00</t>
  </si>
  <si>
    <t>R 26,264.50</t>
  </si>
  <si>
    <t>R 35,378.00</t>
  </si>
  <si>
    <t>R 40,193.00</t>
  </si>
  <si>
    <t>R 57,762.50</t>
  </si>
  <si>
    <t>HPE ProLiant DL325 Gen12 Configure-to-order Server</t>
  </si>
  <si>
    <t>HPE ProLiant DL340 Gen12 8SFF Configure-to-order Server</t>
  </si>
  <si>
    <r>
      <t>This is a base component server that does not include a CPU, memory, drives, network adapters, or power supplies. It comes equipped only with management software (</t>
    </r>
    <r>
      <rPr>
        <b/>
        <sz val="11"/>
        <color rgb="FFFF0000"/>
        <rFont val="Aptos Narrow"/>
        <family val="2"/>
        <scheme val="minor"/>
      </rPr>
      <t>iLO Advanced</t>
    </r>
    <r>
      <rPr>
        <sz val="11"/>
        <color rgb="FFFF0000"/>
        <rFont val="Aptos Narrow"/>
        <family val="2"/>
        <scheme val="minor"/>
      </rPr>
      <t xml:space="preserve"> </t>
    </r>
    <r>
      <rPr>
        <b/>
        <sz val="11"/>
        <color rgb="FFFF0000"/>
        <rFont val="Aptos Narrow"/>
        <family val="2"/>
        <scheme val="minor"/>
      </rPr>
      <t>)</t>
    </r>
    <r>
      <rPr>
        <sz val="11"/>
        <color rgb="FFFF0000"/>
        <rFont val="Aptos Narrow"/>
        <family val="2"/>
        <scheme val="minor"/>
      </rPr>
      <t>. Components required to make the server operational can be selected and configured separately below to make it a workable server.</t>
    </r>
  </si>
  <si>
    <t>This is a base component server that does not include a CPU, memory, drives, network adapters, or power supplies. It comes equipped only with management software (iLO Advanced ). Components required to make the server operational can be selected and configured separately below to make it a workable server.</t>
  </si>
  <si>
    <r>
      <t>This is a base component server that does not include a CPUs, memory, drives, network adapters, or power supplies. It comes equipped only with management software (</t>
    </r>
    <r>
      <rPr>
        <b/>
        <sz val="11"/>
        <color rgb="FFFF0000"/>
        <rFont val="Aptos Narrow"/>
        <family val="2"/>
        <scheme val="minor"/>
      </rPr>
      <t>iLO Advanced)</t>
    </r>
    <r>
      <rPr>
        <sz val="11"/>
        <color rgb="FFFF0000"/>
        <rFont val="Aptos Narrow"/>
        <family val="2"/>
        <scheme val="minor"/>
      </rPr>
      <t>. Components required to make the server operational can be selected and configured separately below to make it a workable server.</t>
    </r>
  </si>
  <si>
    <t> P69726-F21</t>
  </si>
  <si>
    <t>HPE 16GB (1x16GB) Single Rank x8 DDR5-6400 CAS-52-52-52 EC8 Registered Smart FIO Memory 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</si>
</sst>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quot;* #,##0.00_-;\-&quot;R&quot;* #,##0.00_-;_-&quot;R&quot;* &quot;-&quot;??_-;_-@_-"/>
    <numFmt numFmtId="164" formatCode="_(&quot;$&quot;* #,##0.00_);_(&quot;$&quot;* \(#,##0.00\);_(&quot;$&quot;* &quot;-&quot;??_);_(@_)"/>
    <numFmt numFmtId="165" formatCode="_-[$R-1C09]* #,##0.00_-;\-[$R-1C09]* #,##0.00_-;_-[$R-1C09]* &quot;-&quot;??_-;_-@_-"/>
    <numFmt numFmtId="166" formatCode="[$R-1C09]#,##0.00"/>
    <numFmt numFmtId="167" formatCode="[$R-436]#,##0.00"/>
    <numFmt numFmtId="168" formatCode="_-[$R-430]* #,##0.00_-;\-[$R-430]* #,##0.00_-;_-[$R-430]* &quot;-&quot;??_-;_-@_-"/>
  </numFmts>
  <fonts count="3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family val="2"/>
    </font>
    <font>
      <b/>
      <sz val="11"/>
      <color rgb="FFFF0000"/>
      <name val="Aptos Narrow"/>
      <family val="2"/>
      <scheme val="minor"/>
    </font>
    <font>
      <sz val="14"/>
      <color theme="1"/>
      <name val="Arial"/>
      <family val="2"/>
    </font>
    <font>
      <b/>
      <sz val="12"/>
      <color rgb="FFFFFFFF"/>
      <name val="Aptos Narrow"/>
      <family val="2"/>
      <scheme val="minor"/>
    </font>
    <font>
      <sz val="10"/>
      <name val="Arial"/>
      <family val="2"/>
    </font>
    <font>
      <sz val="11"/>
      <color rgb="FFFF0000"/>
      <name val="Aptos Narrow"/>
      <family val="2"/>
      <scheme val="minor"/>
    </font>
    <font>
      <sz val="11"/>
      <color theme="0"/>
      <name val="Aptos Narrow"/>
      <family val="2"/>
      <scheme val="minor"/>
    </font>
    <font>
      <b/>
      <sz val="11"/>
      <color theme="0"/>
      <name val="Aptos Narrow"/>
      <family val="2"/>
      <scheme val="minor"/>
    </font>
    <font>
      <sz val="8"/>
      <name val="Times New Roman"/>
    </font>
    <font>
      <b/>
      <sz val="12"/>
      <color theme="1"/>
      <name val="Aptos Narrow"/>
      <family val="2"/>
      <scheme val="minor"/>
    </font>
    <font>
      <sz val="14"/>
      <color theme="1"/>
      <name val="Arial"/>
    </font>
    <font>
      <b/>
      <sz val="11"/>
      <name val="Aptos Narrow"/>
      <family val="2"/>
      <scheme val="minor"/>
    </font>
    <font>
      <sz val="11"/>
      <color rgb="FF000000"/>
      <name val="MetricHPE"/>
      <charset val="1"/>
    </font>
    <font>
      <sz val="11"/>
      <color rgb="FF000000"/>
      <name val="Aptos Narrow"/>
      <scheme val="minor"/>
    </font>
    <font>
      <sz val="11"/>
      <color theme="1"/>
      <name val="Aptos Narrow"/>
      <scheme val="minor"/>
    </font>
    <font>
      <b/>
      <sz val="11"/>
      <color theme="1"/>
      <name val="Aptos Narrow"/>
      <scheme val="minor"/>
    </font>
    <font>
      <b/>
      <sz val="11"/>
      <color rgb="FF000000"/>
      <name val="Aptos Narrow"/>
      <scheme val="minor"/>
    </font>
    <font>
      <sz val="11"/>
      <color theme="0"/>
      <name val="Aptos Narrow"/>
      <scheme val="minor"/>
    </font>
    <font>
      <sz val="11"/>
      <color rgb="FF666666"/>
      <name val="MetricHPE"/>
    </font>
    <font>
      <sz val="11"/>
      <color rgb="FF000000"/>
      <name val="Aptos Narrow"/>
      <family val="2"/>
      <scheme val="minor"/>
    </font>
    <font>
      <sz val="11"/>
      <color rgb="FF000000"/>
      <name val="MetricHPE"/>
      <family val="2"/>
    </font>
    <font>
      <sz val="8"/>
      <name val="Aptos Narrow"/>
      <family val="2"/>
      <scheme val="minor"/>
    </font>
    <font>
      <b/>
      <sz val="11"/>
      <color rgb="FF000000"/>
      <name val="Aptos Narrow"/>
      <family val="2"/>
      <scheme val="minor"/>
    </font>
    <font>
      <sz val="12"/>
      <color theme="1"/>
      <name val="Aptos Narrow"/>
      <family val="2"/>
      <scheme val="minor"/>
    </font>
    <font>
      <sz val="12"/>
      <color theme="0"/>
      <name val="Aptos Narrow"/>
      <family val="2"/>
      <scheme val="minor"/>
    </font>
    <font>
      <b/>
      <sz val="12"/>
      <color theme="0"/>
      <name val="Aptos Narrow"/>
      <family val="2"/>
      <scheme val="minor"/>
    </font>
    <font>
      <b/>
      <sz val="12"/>
      <name val="Aptos Narrow"/>
      <family val="2"/>
      <scheme val="minor"/>
    </font>
  </fonts>
  <fills count="9">
    <fill>
      <patternFill patternType="none"/>
    </fill>
    <fill>
      <patternFill patternType="gray125"/>
    </fill>
    <fill>
      <patternFill patternType="solid">
        <fgColor theme="0"/>
        <bgColor indexed="64"/>
      </patternFill>
    </fill>
    <fill>
      <patternFill patternType="solid">
        <fgColor rgb="FF01A982"/>
        <bgColor indexed="64"/>
      </patternFill>
    </fill>
    <fill>
      <patternFill patternType="solid">
        <fgColor theme="0" tint="-0.14999847407452621"/>
        <bgColor indexed="64"/>
      </patternFill>
    </fill>
    <fill>
      <patternFill patternType="solid">
        <fgColor indexed="9"/>
        <bgColor indexed="9"/>
      </patternFill>
    </fill>
    <fill>
      <patternFill patternType="solid">
        <fgColor theme="0" tint="-4.9989318521683403E-2"/>
        <bgColor indexed="64"/>
      </patternFill>
    </fill>
    <fill>
      <patternFill patternType="solid">
        <fgColor rgb="FFFFFFFF"/>
        <bgColor indexed="64"/>
      </patternFill>
    </fill>
    <fill>
      <patternFill patternType="solid">
        <fgColor rgb="FFF7F7F7"/>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bottom style="thin">
        <color indexed="64"/>
      </bottom>
      <diagonal/>
    </border>
    <border>
      <left style="thin">
        <color rgb="FF000000"/>
      </left>
      <right/>
      <top/>
      <bottom/>
      <diagonal/>
    </border>
  </borders>
  <cellStyleXfs count="3">
    <xf numFmtId="0" fontId="0" fillId="0" borderId="0"/>
    <xf numFmtId="44" fontId="1" fillId="0" borderId="0" applyFont="0" applyFill="0" applyBorder="0" applyAlignment="0" applyProtection="0"/>
    <xf numFmtId="0" fontId="7" fillId="0" borderId="0"/>
  </cellStyleXfs>
  <cellXfs count="181">
    <xf numFmtId="0" fontId="0" fillId="0" borderId="0" xfId="0"/>
    <xf numFmtId="0" fontId="3" fillId="2" borderId="0" xfId="0" applyFont="1" applyFill="1"/>
    <xf numFmtId="44" fontId="0" fillId="0" borderId="0" xfId="1" applyFont="1"/>
    <xf numFmtId="44" fontId="0" fillId="0" borderId="0" xfId="1" applyFont="1" applyBorder="1"/>
    <xf numFmtId="0" fontId="5" fillId="2" borderId="0" xfId="0" applyFont="1" applyFill="1"/>
    <xf numFmtId="0" fontId="8" fillId="0" borderId="0" xfId="0" applyFont="1"/>
    <xf numFmtId="9" fontId="9" fillId="0" borderId="0" xfId="0" applyNumberFormat="1" applyFont="1"/>
    <xf numFmtId="44" fontId="9" fillId="0" borderId="0" xfId="1" applyFont="1" applyBorder="1"/>
    <xf numFmtId="44" fontId="9" fillId="0" borderId="0" xfId="1" applyFont="1"/>
    <xf numFmtId="0" fontId="9" fillId="0" borderId="0" xfId="0" applyFont="1"/>
    <xf numFmtId="44" fontId="0" fillId="0" borderId="0" xfId="0" applyNumberFormat="1"/>
    <xf numFmtId="0" fontId="0" fillId="0" borderId="1" xfId="0" applyBorder="1"/>
    <xf numFmtId="0" fontId="11" fillId="5" borderId="0" xfId="0" applyFont="1" applyFill="1"/>
    <xf numFmtId="44" fontId="9" fillId="0" borderId="1" xfId="1" applyFont="1" applyBorder="1"/>
    <xf numFmtId="44" fontId="2" fillId="0" borderId="1" xfId="1" applyFont="1" applyBorder="1"/>
    <xf numFmtId="44" fontId="2" fillId="0" borderId="0" xfId="1" applyFont="1" applyBorder="1"/>
    <xf numFmtId="9" fontId="9" fillId="0" borderId="1" xfId="0" applyNumberFormat="1" applyFont="1" applyBorder="1"/>
    <xf numFmtId="0" fontId="2" fillId="0" borderId="1" xfId="0" applyFont="1" applyBorder="1"/>
    <xf numFmtId="44" fontId="10" fillId="0" borderId="1" xfId="1" applyFont="1" applyBorder="1"/>
    <xf numFmtId="9" fontId="10" fillId="0" borderId="1" xfId="0" applyNumberFormat="1" applyFont="1" applyBorder="1"/>
    <xf numFmtId="0" fontId="4" fillId="0" borderId="1" xfId="0" applyFont="1" applyBorder="1"/>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6" fillId="3" borderId="0" xfId="0" applyFont="1" applyFill="1" applyAlignment="1">
      <alignment horizontal="center" vertical="center" readingOrder="1"/>
    </xf>
    <xf numFmtId="0" fontId="0" fillId="0" borderId="0" xfId="0" applyAlignment="1">
      <alignment horizontal="center" wrapText="1"/>
    </xf>
    <xf numFmtId="0" fontId="12" fillId="4" borderId="0" xfId="0" applyFont="1" applyFill="1" applyAlignment="1">
      <alignment horizontal="center" vertical="center" wrapText="1"/>
    </xf>
    <xf numFmtId="0" fontId="2" fillId="4" borderId="0" xfId="0" applyFont="1" applyFill="1" applyAlignment="1">
      <alignment horizontal="center" vertical="center" wrapText="1"/>
    </xf>
    <xf numFmtId="0" fontId="8" fillId="0" borderId="0" xfId="0" applyFont="1" applyAlignment="1">
      <alignment horizontal="center" wrapText="1"/>
    </xf>
    <xf numFmtId="0" fontId="13" fillId="2" borderId="0" xfId="0" applyFont="1" applyFill="1"/>
    <xf numFmtId="0" fontId="15" fillId="0" borderId="0" xfId="0" applyFont="1"/>
    <xf numFmtId="0" fontId="15" fillId="2" borderId="0" xfId="0" applyFont="1" applyFill="1" applyAlignment="1">
      <alignment wrapText="1" readingOrder="1"/>
    </xf>
    <xf numFmtId="0" fontId="15" fillId="7" borderId="0" xfId="0" applyFont="1" applyFill="1" applyAlignment="1">
      <alignment wrapText="1" readingOrder="1"/>
    </xf>
    <xf numFmtId="49" fontId="11" fillId="5" borderId="0" xfId="0" applyNumberFormat="1" applyFont="1" applyFill="1"/>
    <xf numFmtId="0" fontId="0" fillId="0" borderId="5" xfId="0" applyBorder="1"/>
    <xf numFmtId="0" fontId="0" fillId="0" borderId="3" xfId="0" applyBorder="1"/>
    <xf numFmtId="0" fontId="0" fillId="0" borderId="4" xfId="0" applyBorder="1"/>
    <xf numFmtId="0" fontId="0" fillId="0" borderId="6" xfId="0" applyBorder="1"/>
    <xf numFmtId="164" fontId="18" fillId="0" borderId="0" xfId="1" applyNumberFormat="1" applyFont="1" applyBorder="1" applyAlignment="1">
      <alignment vertical="top"/>
    </xf>
    <xf numFmtId="0" fontId="0" fillId="2" borderId="0" xfId="0" applyFill="1"/>
    <xf numFmtId="49" fontId="11" fillId="2" borderId="0" xfId="0" applyNumberFormat="1" applyFont="1" applyFill="1"/>
    <xf numFmtId="49" fontId="0" fillId="2" borderId="0" xfId="0" applyNumberFormat="1" applyFill="1"/>
    <xf numFmtId="49" fontId="2" fillId="2" borderId="0" xfId="1" applyNumberFormat="1" applyFont="1" applyFill="1" applyBorder="1"/>
    <xf numFmtId="164" fontId="18" fillId="2" borderId="0" xfId="0" applyNumberFormat="1" applyFont="1" applyFill="1" applyAlignment="1">
      <alignment vertical="top"/>
    </xf>
    <xf numFmtId="49" fontId="0" fillId="0" borderId="5" xfId="0" applyNumberFormat="1" applyBorder="1" applyAlignment="1">
      <alignment vertical="center"/>
    </xf>
    <xf numFmtId="49" fontId="16" fillId="2" borderId="5" xfId="0" applyNumberFormat="1" applyFont="1" applyFill="1" applyBorder="1" applyAlignment="1">
      <alignment vertical="center"/>
    </xf>
    <xf numFmtId="49" fontId="0" fillId="2" borderId="5" xfId="0" applyNumberFormat="1" applyFill="1" applyBorder="1"/>
    <xf numFmtId="0" fontId="17" fillId="0" borderId="5" xfId="0" applyFont="1" applyBorder="1"/>
    <xf numFmtId="44" fontId="18" fillId="0" borderId="5" xfId="1" applyFont="1" applyBorder="1"/>
    <xf numFmtId="0" fontId="16" fillId="0" borderId="5" xfId="0" applyFont="1" applyBorder="1"/>
    <xf numFmtId="0" fontId="16" fillId="7" borderId="5" xfId="0" applyFont="1" applyFill="1" applyBorder="1" applyAlignment="1">
      <alignment wrapText="1" readingOrder="1"/>
    </xf>
    <xf numFmtId="0" fontId="3" fillId="2" borderId="3" xfId="0" applyFont="1" applyFill="1" applyBorder="1"/>
    <xf numFmtId="44" fontId="6" fillId="3" borderId="0" xfId="1" applyFont="1" applyFill="1" applyBorder="1" applyAlignment="1">
      <alignment horizontal="center" vertical="center" readingOrder="1"/>
    </xf>
    <xf numFmtId="44" fontId="20" fillId="0" borderId="5" xfId="1" applyFont="1" applyBorder="1"/>
    <xf numFmtId="0" fontId="21" fillId="0" borderId="0" xfId="0" applyFont="1"/>
    <xf numFmtId="0" fontId="22" fillId="0" borderId="5" xfId="0" applyFont="1" applyBorder="1"/>
    <xf numFmtId="0" fontId="0" fillId="0" borderId="0" xfId="0" applyAlignment="1">
      <alignment wrapText="1"/>
    </xf>
    <xf numFmtId="0" fontId="15" fillId="0" borderId="5" xfId="0" applyFont="1" applyBorder="1"/>
    <xf numFmtId="0" fontId="15" fillId="7" borderId="5" xfId="0" applyFont="1" applyFill="1" applyBorder="1" applyAlignment="1">
      <alignment wrapText="1" readingOrder="1"/>
    </xf>
    <xf numFmtId="44" fontId="0" fillId="0" borderId="5" xfId="1" applyFont="1" applyBorder="1"/>
    <xf numFmtId="49" fontId="16" fillId="0" borderId="5" xfId="0" applyNumberFormat="1" applyFont="1" applyBorder="1"/>
    <xf numFmtId="49" fontId="16" fillId="7" borderId="5" xfId="0" applyNumberFormat="1" applyFont="1" applyFill="1" applyBorder="1" applyAlignment="1">
      <alignment wrapText="1" readingOrder="1"/>
    </xf>
    <xf numFmtId="49" fontId="20" fillId="0" borderId="5" xfId="1" applyNumberFormat="1" applyFont="1" applyBorder="1"/>
    <xf numFmtId="164" fontId="16" fillId="7" borderId="5" xfId="0" applyNumberFormat="1" applyFont="1" applyFill="1" applyBorder="1" applyAlignment="1">
      <alignment wrapText="1" readingOrder="1"/>
    </xf>
    <xf numFmtId="44" fontId="9" fillId="2" borderId="5" xfId="1" applyFont="1" applyFill="1" applyBorder="1" applyAlignment="1">
      <alignment horizontal="left"/>
    </xf>
    <xf numFmtId="0" fontId="0" fillId="2" borderId="5" xfId="0" applyFill="1" applyBorder="1" applyAlignment="1">
      <alignment horizontal="left"/>
    </xf>
    <xf numFmtId="167" fontId="0" fillId="0" borderId="0" xfId="1" applyNumberFormat="1" applyFont="1" applyBorder="1"/>
    <xf numFmtId="9" fontId="9" fillId="0" borderId="5" xfId="0" applyNumberFormat="1" applyFont="1" applyBorder="1"/>
    <xf numFmtId="44" fontId="0" fillId="0" borderId="1" xfId="1" applyFont="1" applyBorder="1"/>
    <xf numFmtId="0" fontId="0" fillId="2" borderId="5" xfId="0" applyFill="1" applyBorder="1"/>
    <xf numFmtId="166" fontId="0" fillId="2" borderId="5" xfId="0" applyNumberFormat="1" applyFill="1" applyBorder="1" applyAlignment="1">
      <alignment horizontal="left"/>
    </xf>
    <xf numFmtId="166" fontId="17" fillId="0" borderId="5" xfId="1" applyNumberFormat="1" applyFont="1" applyBorder="1" applyAlignment="1">
      <alignment horizontal="left"/>
    </xf>
    <xf numFmtId="0" fontId="0" fillId="0" borderId="9" xfId="0" applyBorder="1"/>
    <xf numFmtId="165" fontId="19" fillId="8" borderId="5" xfId="0" applyNumberFormat="1" applyFont="1" applyFill="1" applyBorder="1" applyAlignment="1">
      <alignment wrapText="1" readingOrder="1"/>
    </xf>
    <xf numFmtId="165" fontId="19" fillId="7" borderId="5" xfId="0" applyNumberFormat="1" applyFont="1" applyFill="1" applyBorder="1" applyAlignment="1">
      <alignment wrapText="1" readingOrder="1"/>
    </xf>
    <xf numFmtId="0" fontId="0" fillId="0" borderId="5" xfId="0" applyBorder="1" applyAlignment="1">
      <alignment horizontal="right" vertical="top"/>
    </xf>
    <xf numFmtId="49" fontId="0" fillId="0" borderId="5" xfId="0" applyNumberFormat="1" applyBorder="1" applyAlignment="1">
      <alignment horizontal="right" vertical="top"/>
    </xf>
    <xf numFmtId="0" fontId="0" fillId="0" borderId="5" xfId="0" applyBorder="1" applyAlignment="1">
      <alignment horizontal="right" vertical="center"/>
    </xf>
    <xf numFmtId="0" fontId="17" fillId="0" borderId="5" xfId="0" applyFont="1" applyBorder="1" applyAlignment="1">
      <alignment horizontal="left" vertical="top"/>
    </xf>
    <xf numFmtId="165" fontId="19" fillId="7" borderId="5" xfId="0" applyNumberFormat="1" applyFont="1" applyFill="1" applyBorder="1" applyAlignment="1">
      <alignment horizontal="left" vertical="top" wrapText="1" readingOrder="1"/>
    </xf>
    <xf numFmtId="0" fontId="17" fillId="0" borderId="5" xfId="0" applyFont="1" applyBorder="1" applyAlignment="1">
      <alignment horizontal="left" vertical="center"/>
    </xf>
    <xf numFmtId="165" fontId="19" fillId="7" borderId="5" xfId="0" applyNumberFormat="1" applyFont="1" applyFill="1" applyBorder="1" applyAlignment="1">
      <alignment horizontal="left" vertical="center" wrapText="1" readingOrder="1"/>
    </xf>
    <xf numFmtId="165" fontId="2" fillId="0" borderId="5" xfId="1" applyNumberFormat="1" applyFont="1" applyBorder="1"/>
    <xf numFmtId="0" fontId="17" fillId="0" borderId="18" xfId="0" applyFont="1" applyBorder="1"/>
    <xf numFmtId="168" fontId="2" fillId="0" borderId="5" xfId="1" applyNumberFormat="1" applyFont="1" applyBorder="1"/>
    <xf numFmtId="165" fontId="18" fillId="0" borderId="5" xfId="1" applyNumberFormat="1" applyFont="1" applyBorder="1" applyAlignment="1">
      <alignment vertical="top"/>
    </xf>
    <xf numFmtId="165" fontId="19" fillId="7" borderId="5" xfId="0" applyNumberFormat="1" applyFont="1" applyFill="1" applyBorder="1" applyAlignment="1">
      <alignment vertical="top" wrapText="1" readingOrder="1"/>
    </xf>
    <xf numFmtId="165" fontId="19" fillId="0" borderId="5" xfId="0" applyNumberFormat="1" applyFont="1" applyBorder="1" applyAlignment="1">
      <alignment vertical="top"/>
    </xf>
    <xf numFmtId="0" fontId="0" fillId="0" borderId="7" xfId="0" applyBorder="1"/>
    <xf numFmtId="44" fontId="9" fillId="2" borderId="5" xfId="1" applyFont="1" applyFill="1" applyBorder="1"/>
    <xf numFmtId="44" fontId="2" fillId="2" borderId="5" xfId="1" applyFont="1" applyFill="1" applyBorder="1"/>
    <xf numFmtId="165" fontId="2" fillId="2" borderId="5" xfId="1" applyNumberFormat="1" applyFont="1" applyFill="1" applyBorder="1" applyAlignment="1">
      <alignment horizontal="left" vertical="top"/>
    </xf>
    <xf numFmtId="44" fontId="2" fillId="0" borderId="3" xfId="1" applyFont="1" applyBorder="1"/>
    <xf numFmtId="165" fontId="19" fillId="2" borderId="5" xfId="0" applyNumberFormat="1" applyFont="1" applyFill="1" applyBorder="1" applyAlignment="1">
      <alignment horizontal="left" vertical="top" wrapText="1" readingOrder="1"/>
    </xf>
    <xf numFmtId="0" fontId="16" fillId="7" borderId="0" xfId="0" applyFont="1" applyFill="1" applyAlignment="1">
      <alignment wrapText="1" readingOrder="1"/>
    </xf>
    <xf numFmtId="165" fontId="19" fillId="7" borderId="0" xfId="0" applyNumberFormat="1" applyFont="1" applyFill="1" applyAlignment="1">
      <alignment wrapText="1" readingOrder="1"/>
    </xf>
    <xf numFmtId="0" fontId="17" fillId="0" borderId="0" xfId="0" applyFont="1"/>
    <xf numFmtId="0" fontId="16" fillId="0" borderId="0" xfId="0" applyFont="1"/>
    <xf numFmtId="165" fontId="25" fillId="2" borderId="5" xfId="1" applyNumberFormat="1" applyFont="1" applyFill="1" applyBorder="1" applyAlignment="1">
      <alignment vertical="center"/>
    </xf>
    <xf numFmtId="44" fontId="2" fillId="0" borderId="5" xfId="1" applyFont="1" applyBorder="1" applyAlignment="1">
      <alignment horizontal="left"/>
    </xf>
    <xf numFmtId="0" fontId="0" fillId="0" borderId="8" xfId="0" applyBorder="1" applyAlignment="1">
      <alignment horizontal="right" vertical="top"/>
    </xf>
    <xf numFmtId="0" fontId="17" fillId="0" borderId="8" xfId="0" applyFont="1" applyBorder="1" applyAlignment="1">
      <alignment horizontal="left" vertical="top"/>
    </xf>
    <xf numFmtId="0" fontId="0" fillId="0" borderId="1" xfId="0" applyBorder="1" applyAlignment="1">
      <alignment horizontal="right" vertical="top"/>
    </xf>
    <xf numFmtId="0" fontId="17" fillId="0" borderId="1" xfId="0" applyFont="1" applyBorder="1" applyAlignment="1">
      <alignment horizontal="left" vertical="top"/>
    </xf>
    <xf numFmtId="165" fontId="19" fillId="7" borderId="1" xfId="0" applyNumberFormat="1" applyFont="1" applyFill="1" applyBorder="1" applyAlignment="1">
      <alignment horizontal="left" vertical="top" wrapText="1" readingOrder="1"/>
    </xf>
    <xf numFmtId="165" fontId="19" fillId="7" borderId="8" xfId="0" applyNumberFormat="1" applyFont="1" applyFill="1" applyBorder="1" applyAlignment="1">
      <alignment vertical="top" wrapText="1" readingOrder="1"/>
    </xf>
    <xf numFmtId="44" fontId="20" fillId="0" borderId="0" xfId="1" applyFont="1" applyBorder="1"/>
    <xf numFmtId="0" fontId="2" fillId="0" borderId="0" xfId="0" applyFont="1"/>
    <xf numFmtId="165" fontId="25" fillId="2" borderId="8" xfId="1" applyNumberFormat="1" applyFont="1" applyFill="1" applyBorder="1" applyAlignment="1">
      <alignment vertical="center"/>
    </xf>
    <xf numFmtId="165" fontId="2" fillId="0" borderId="8" xfId="1" applyNumberFormat="1" applyFont="1" applyBorder="1"/>
    <xf numFmtId="44" fontId="0" fillId="6" borderId="1" xfId="1" applyFont="1" applyFill="1" applyBorder="1"/>
    <xf numFmtId="165" fontId="19" fillId="8" borderId="8" xfId="0" applyNumberFormat="1" applyFont="1" applyFill="1" applyBorder="1" applyAlignment="1">
      <alignment wrapText="1" readingOrder="1"/>
    </xf>
    <xf numFmtId="165" fontId="2" fillId="0" borderId="1" xfId="1" applyNumberFormat="1" applyFont="1" applyBorder="1"/>
    <xf numFmtId="0" fontId="16" fillId="0" borderId="7" xfId="0" applyFont="1" applyBorder="1"/>
    <xf numFmtId="165" fontId="19" fillId="7" borderId="1" xfId="0" applyNumberFormat="1" applyFont="1" applyFill="1" applyBorder="1" applyAlignment="1">
      <alignment vertical="top" wrapText="1" readingOrder="1"/>
    </xf>
    <xf numFmtId="44" fontId="2" fillId="0" borderId="1" xfId="0" applyNumberFormat="1" applyFont="1" applyBorder="1"/>
    <xf numFmtId="0" fontId="0" fillId="0" borderId="5" xfId="0" applyBorder="1" applyAlignment="1">
      <alignment vertical="center"/>
    </xf>
    <xf numFmtId="49" fontId="25" fillId="2" borderId="5" xfId="0" applyNumberFormat="1" applyFont="1" applyFill="1" applyBorder="1" applyAlignment="1">
      <alignment vertical="center"/>
    </xf>
    <xf numFmtId="165" fontId="0" fillId="0" borderId="1" xfId="0" applyNumberFormat="1" applyBorder="1"/>
    <xf numFmtId="165" fontId="2" fillId="0" borderId="1" xfId="0" applyNumberFormat="1" applyFont="1" applyBorder="1"/>
    <xf numFmtId="44" fontId="2" fillId="2" borderId="5" xfId="0" applyNumberFormat="1" applyFont="1" applyFill="1" applyBorder="1"/>
    <xf numFmtId="165" fontId="25" fillId="0" borderId="5" xfId="0" applyNumberFormat="1" applyFont="1" applyBorder="1"/>
    <xf numFmtId="165" fontId="25" fillId="7" borderId="5" xfId="0" applyNumberFormat="1" applyFont="1" applyFill="1" applyBorder="1" applyAlignment="1">
      <alignment wrapText="1" readingOrder="1"/>
    </xf>
    <xf numFmtId="165" fontId="0" fillId="0" borderId="0" xfId="0" applyNumberFormat="1"/>
    <xf numFmtId="0" fontId="12" fillId="0" borderId="1" xfId="0" applyFont="1" applyBorder="1"/>
    <xf numFmtId="0" fontId="26" fillId="0" borderId="1" xfId="0" applyFont="1" applyBorder="1"/>
    <xf numFmtId="44" fontId="27" fillId="0" borderId="1" xfId="1" applyFont="1" applyBorder="1"/>
    <xf numFmtId="44" fontId="12" fillId="0" borderId="1" xfId="1" applyFont="1" applyBorder="1"/>
    <xf numFmtId="165" fontId="10" fillId="2" borderId="5" xfId="1" applyNumberFormat="1" applyFont="1" applyFill="1" applyBorder="1" applyAlignment="1">
      <alignment vertical="center"/>
    </xf>
    <xf numFmtId="49" fontId="10" fillId="2" borderId="5" xfId="1" applyNumberFormat="1" applyFont="1" applyFill="1" applyBorder="1"/>
    <xf numFmtId="165" fontId="10" fillId="0" borderId="5" xfId="1" applyNumberFormat="1" applyFont="1" applyBorder="1"/>
    <xf numFmtId="44" fontId="10" fillId="2" borderId="5" xfId="1" applyFont="1" applyFill="1" applyBorder="1"/>
    <xf numFmtId="165" fontId="10" fillId="0" borderId="5" xfId="0" applyNumberFormat="1" applyFont="1" applyBorder="1" applyAlignment="1">
      <alignment vertical="top"/>
    </xf>
    <xf numFmtId="165" fontId="10" fillId="7" borderId="5" xfId="0" applyNumberFormat="1" applyFont="1" applyFill="1" applyBorder="1" applyAlignment="1">
      <alignment vertical="top" wrapText="1" readingOrder="1"/>
    </xf>
    <xf numFmtId="165" fontId="10" fillId="0" borderId="5" xfId="1" applyNumberFormat="1" applyFont="1" applyBorder="1" applyAlignment="1">
      <alignment vertical="top"/>
    </xf>
    <xf numFmtId="165" fontId="10" fillId="2" borderId="5" xfId="0" applyNumberFormat="1" applyFont="1" applyFill="1" applyBorder="1" applyAlignment="1">
      <alignment wrapText="1" readingOrder="1"/>
    </xf>
    <xf numFmtId="44" fontId="9" fillId="2" borderId="0" xfId="1" applyFont="1" applyFill="1" applyBorder="1"/>
    <xf numFmtId="0" fontId="12" fillId="0" borderId="0" xfId="0" applyFont="1"/>
    <xf numFmtId="44" fontId="28" fillId="0" borderId="0" xfId="1" applyFont="1" applyBorder="1"/>
    <xf numFmtId="44" fontId="12" fillId="0" borderId="0" xfId="1" applyFont="1"/>
    <xf numFmtId="0" fontId="29" fillId="5" borderId="1" xfId="0" applyFont="1" applyFill="1" applyBorder="1"/>
    <xf numFmtId="44" fontId="29" fillId="5" borderId="1" xfId="1" applyFont="1" applyFill="1" applyBorder="1"/>
    <xf numFmtId="9" fontId="14" fillId="0" borderId="1" xfId="0" applyNumberFormat="1" applyFont="1" applyBorder="1"/>
    <xf numFmtId="44" fontId="14" fillId="0" borderId="1" xfId="0" applyNumberFormat="1" applyFont="1" applyBorder="1"/>
    <xf numFmtId="44" fontId="14" fillId="0" borderId="1" xfId="1" applyFont="1" applyBorder="1"/>
    <xf numFmtId="44" fontId="6" fillId="3" borderId="0" xfId="1" applyFont="1" applyFill="1" applyBorder="1" applyAlignment="1">
      <alignment horizontal="center" vertical="center" readingOrder="1"/>
    </xf>
    <xf numFmtId="0" fontId="8" fillId="0" borderId="0" xfId="0" applyFont="1" applyAlignment="1">
      <alignment horizontal="center"/>
    </xf>
    <xf numFmtId="0" fontId="8" fillId="0" borderId="0" xfId="0" applyFont="1" applyAlignment="1">
      <alignment horizontal="center" wrapText="1"/>
    </xf>
    <xf numFmtId="0" fontId="8" fillId="0" borderId="0" xfId="0" applyFont="1" applyAlignment="1">
      <alignment horizontal="center" vertical="center" wrapText="1"/>
    </xf>
    <xf numFmtId="0" fontId="8" fillId="0" borderId="19" xfId="0" applyFont="1" applyBorder="1" applyAlignment="1">
      <alignment horizontal="center" vertical="center" wrapText="1"/>
    </xf>
    <xf numFmtId="0" fontId="12" fillId="4" borderId="0" xfId="0" applyFont="1" applyFill="1" applyAlignment="1">
      <alignment horizontal="center" vertical="center" wrapText="1"/>
    </xf>
    <xf numFmtId="0" fontId="6" fillId="3" borderId="0" xfId="0" applyFont="1" applyFill="1" applyAlignment="1">
      <alignment horizontal="center" vertical="center" readingOrder="1"/>
    </xf>
    <xf numFmtId="0" fontId="12" fillId="0" borderId="3" xfId="0" applyFont="1" applyBorder="1" applyAlignment="1">
      <alignment horizontal="center"/>
    </xf>
    <xf numFmtId="0" fontId="12" fillId="0" borderId="4" xfId="0" applyFont="1" applyBorder="1" applyAlignment="1">
      <alignment horizontal="center"/>
    </xf>
    <xf numFmtId="0" fontId="0" fillId="0" borderId="0" xfId="0" applyAlignment="1">
      <alignment horizontal="center" wrapText="1"/>
    </xf>
    <xf numFmtId="0" fontId="2" fillId="4" borderId="0" xfId="0" applyFont="1" applyFill="1" applyAlignment="1">
      <alignment horizontal="center" vertical="center" wrapText="1"/>
    </xf>
    <xf numFmtId="0" fontId="0" fillId="0" borderId="0" xfId="0" applyAlignment="1">
      <alignment wrapText="1"/>
    </xf>
    <xf numFmtId="0" fontId="8" fillId="0" borderId="2" xfId="0" applyFont="1" applyBorder="1" applyAlignment="1">
      <alignment horizontal="center" wrapText="1"/>
    </xf>
    <xf numFmtId="0" fontId="29" fillId="5" borderId="3" xfId="0" applyFont="1" applyFill="1" applyBorder="1" applyAlignment="1">
      <alignment horizontal="center"/>
    </xf>
    <xf numFmtId="0" fontId="29" fillId="5" borderId="4" xfId="0" applyFont="1" applyFill="1" applyBorder="1" applyAlignment="1">
      <alignment horizontal="center"/>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2" fillId="0" borderId="3" xfId="0" applyFont="1" applyBorder="1" applyAlignment="1">
      <alignment horizontal="center"/>
    </xf>
    <xf numFmtId="0" fontId="2" fillId="0" borderId="4" xfId="0" applyFont="1" applyBorder="1" applyAlignment="1">
      <alignment horizontal="center"/>
    </xf>
    <xf numFmtId="0" fontId="8" fillId="0" borderId="2" xfId="0" applyFont="1" applyBorder="1" applyAlignment="1">
      <alignment horizontal="center" vertical="center" wrapText="1"/>
    </xf>
    <xf numFmtId="0" fontId="16" fillId="0" borderId="10" xfId="0" applyFont="1" applyBorder="1" applyAlignment="1">
      <alignment wrapText="1"/>
    </xf>
    <xf numFmtId="0" fontId="16" fillId="0" borderId="11" xfId="0" applyFont="1" applyBorder="1" applyAlignment="1">
      <alignment wrapText="1"/>
    </xf>
    <xf numFmtId="0" fontId="16" fillId="0" borderId="12" xfId="0" applyFont="1" applyBorder="1" applyAlignment="1">
      <alignment wrapText="1"/>
    </xf>
    <xf numFmtId="0" fontId="16" fillId="0" borderId="13" xfId="0" applyFont="1" applyBorder="1" applyAlignment="1">
      <alignment wrapText="1"/>
    </xf>
    <xf numFmtId="0" fontId="16" fillId="0" borderId="0" xfId="0" applyFont="1" applyAlignment="1">
      <alignment wrapText="1"/>
    </xf>
    <xf numFmtId="0" fontId="16" fillId="0" borderId="14" xfId="0" applyFont="1" applyBorder="1" applyAlignment="1">
      <alignment wrapText="1"/>
    </xf>
    <xf numFmtId="0" fontId="16" fillId="0" borderId="15" xfId="0" applyFont="1" applyBorder="1" applyAlignment="1">
      <alignment wrapText="1"/>
    </xf>
    <xf numFmtId="0" fontId="16" fillId="0" borderId="16" xfId="0" applyFont="1" applyBorder="1" applyAlignment="1">
      <alignment wrapText="1"/>
    </xf>
    <xf numFmtId="0" fontId="16" fillId="0" borderId="17" xfId="0" applyFont="1" applyBorder="1" applyAlignment="1">
      <alignment wrapText="1"/>
    </xf>
    <xf numFmtId="44" fontId="6" fillId="3" borderId="0" xfId="1" applyFont="1" applyFill="1" applyAlignment="1">
      <alignment horizontal="center" vertical="center" readingOrder="1"/>
    </xf>
    <xf numFmtId="0" fontId="2" fillId="0" borderId="1" xfId="0" applyFont="1" applyBorder="1" applyAlignment="1">
      <alignment horizontal="center"/>
    </xf>
  </cellXfs>
  <cellStyles count="3">
    <cellStyle name="Currency" xfId="1" builtinId="4"/>
    <cellStyle name="Normal" xfId="0" builtinId="0"/>
    <cellStyle name="Normal 10 2 2 8" xfId="2" xr:uid="{79AE35EC-A9C2-4DC9-8E76-0748736A0C92}"/>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2.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jpe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jpe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jpe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jpe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2</xdr:col>
      <xdr:colOff>295023</xdr:colOff>
      <xdr:row>79</xdr:row>
      <xdr:rowOff>84291</xdr:rowOff>
    </xdr:from>
    <xdr:to>
      <xdr:col>2</xdr:col>
      <xdr:colOff>1778563</xdr:colOff>
      <xdr:row>87</xdr:row>
      <xdr:rowOff>43115</xdr:rowOff>
    </xdr:to>
    <xdr:pic>
      <xdr:nvPicPr>
        <xdr:cNvPr id="3" name="Picture 2" descr="Hewlett Packard Enterprise AF567A power cable Black 2.5 m C13 coupler">
          <a:extLst>
            <a:ext uri="{FF2B5EF4-FFF2-40B4-BE49-F238E27FC236}">
              <a16:creationId xmlns:a16="http://schemas.microsoft.com/office/drawing/2014/main" id="{E20EF0CE-AD96-96A7-149A-BEAE012DC2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828" y="21275309"/>
          <a:ext cx="1483540" cy="15097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90</xdr:row>
      <xdr:rowOff>67433</xdr:rowOff>
    </xdr:from>
    <xdr:to>
      <xdr:col>2</xdr:col>
      <xdr:colOff>1660553</xdr:colOff>
      <xdr:row>98</xdr:row>
      <xdr:rowOff>1244</xdr:rowOff>
    </xdr:to>
    <xdr:pic>
      <xdr:nvPicPr>
        <xdr:cNvPr id="4" name="Picture 3" descr="HPE Power Cord - 2m 10a IEC C13 - IEC C14 jumper (AF573A)">
          <a:extLst>
            <a:ext uri="{FF2B5EF4-FFF2-40B4-BE49-F238E27FC236}">
              <a16:creationId xmlns:a16="http://schemas.microsoft.com/office/drawing/2014/main" id="{D7999C50-E9FF-2293-03F5-BF23C2B680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16106" y="23391039"/>
          <a:ext cx="1458252" cy="1482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xdr:colOff>
      <xdr:row>0</xdr:row>
      <xdr:rowOff>0</xdr:rowOff>
    </xdr:from>
    <xdr:to>
      <xdr:col>2</xdr:col>
      <xdr:colOff>5362575</xdr:colOff>
      <xdr:row>6</xdr:row>
      <xdr:rowOff>161925</xdr:rowOff>
    </xdr:to>
    <xdr:pic>
      <xdr:nvPicPr>
        <xdr:cNvPr id="5" name="Picture 4">
          <a:extLst>
            <a:ext uri="{FF2B5EF4-FFF2-40B4-BE49-F238E27FC236}">
              <a16:creationId xmlns:a16="http://schemas.microsoft.com/office/drawing/2014/main" id="{26C41455-6877-A732-EAA9-59C0514D6FD4}"/>
            </a:ext>
            <a:ext uri="{147F2762-F138-4A5C-976F-8EAC2B608ADB}">
              <a16:predDERef xmlns:a16="http://schemas.microsoft.com/office/drawing/2014/main" pred="{D7999C50-E9FF-2293-03F5-BF23C2B680D8}"/>
            </a:ext>
          </a:extLst>
        </xdr:cNvPr>
        <xdr:cNvPicPr>
          <a:picLocks noChangeAspect="1"/>
        </xdr:cNvPicPr>
      </xdr:nvPicPr>
      <xdr:blipFill>
        <a:blip xmlns:r="http://schemas.openxmlformats.org/officeDocument/2006/relationships" r:embed="rId3"/>
        <a:stretch>
          <a:fillRect/>
        </a:stretch>
      </xdr:blipFill>
      <xdr:spPr>
        <a:xfrm>
          <a:off x="1228725" y="0"/>
          <a:ext cx="5353050" cy="1247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295023</xdr:colOff>
      <xdr:row>77</xdr:row>
      <xdr:rowOff>84291</xdr:rowOff>
    </xdr:from>
    <xdr:to>
      <xdr:col>2</xdr:col>
      <xdr:colOff>1778563</xdr:colOff>
      <xdr:row>84</xdr:row>
      <xdr:rowOff>166940</xdr:rowOff>
    </xdr:to>
    <xdr:pic>
      <xdr:nvPicPr>
        <xdr:cNvPr id="3" name="Picture 2" descr="Hewlett Packard Enterprise AF567A power cable Black 2.5 m C13 coupler">
          <a:extLst>
            <a:ext uri="{FF2B5EF4-FFF2-40B4-BE49-F238E27FC236}">
              <a16:creationId xmlns:a16="http://schemas.microsoft.com/office/drawing/2014/main" id="{3827A6C1-13D4-4646-A7F2-C20356C5AF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4223" y="20953566"/>
          <a:ext cx="1483540" cy="1482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88</xdr:row>
      <xdr:rowOff>67433</xdr:rowOff>
    </xdr:from>
    <xdr:to>
      <xdr:col>2</xdr:col>
      <xdr:colOff>1660553</xdr:colOff>
      <xdr:row>95</xdr:row>
      <xdr:rowOff>88261</xdr:rowOff>
    </xdr:to>
    <xdr:pic>
      <xdr:nvPicPr>
        <xdr:cNvPr id="4" name="Picture 3" descr="HPE Power Cord - 2m 10a IEC C13 - IEC C14 jumper (AF573A)">
          <a:extLst>
            <a:ext uri="{FF2B5EF4-FFF2-40B4-BE49-F238E27FC236}">
              <a16:creationId xmlns:a16="http://schemas.microsoft.com/office/drawing/2014/main" id="{794393DB-E39D-4CF9-A529-49AA5FFCBF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1501" y="23032208"/>
          <a:ext cx="1458252" cy="1459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xdr:colOff>
      <xdr:row>0</xdr:row>
      <xdr:rowOff>0</xdr:rowOff>
    </xdr:from>
    <xdr:to>
      <xdr:col>2</xdr:col>
      <xdr:colOff>4933950</xdr:colOff>
      <xdr:row>7</xdr:row>
      <xdr:rowOff>171450</xdr:rowOff>
    </xdr:to>
    <xdr:pic>
      <xdr:nvPicPr>
        <xdr:cNvPr id="9" name="Picture 11">
          <a:extLst>
            <a:ext uri="{FF2B5EF4-FFF2-40B4-BE49-F238E27FC236}">
              <a16:creationId xmlns:a16="http://schemas.microsoft.com/office/drawing/2014/main" id="{009BA67A-5991-A25A-2504-27E309A404DB}"/>
            </a:ext>
            <a:ext uri="{147F2762-F138-4A5C-976F-8EAC2B608ADB}">
              <a16:predDERef xmlns:a16="http://schemas.microsoft.com/office/drawing/2014/main" pred="{794393DB-E39D-4CF9-A529-49AA5FFCBFE1}"/>
            </a:ext>
          </a:extLst>
        </xdr:cNvPr>
        <xdr:cNvPicPr>
          <a:picLocks noChangeAspect="1"/>
        </xdr:cNvPicPr>
      </xdr:nvPicPr>
      <xdr:blipFill>
        <a:blip xmlns:r="http://schemas.openxmlformats.org/officeDocument/2006/relationships" r:embed="rId3"/>
        <a:stretch>
          <a:fillRect/>
        </a:stretch>
      </xdr:blipFill>
      <xdr:spPr>
        <a:xfrm>
          <a:off x="2400300" y="0"/>
          <a:ext cx="4914900" cy="1438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295023</xdr:colOff>
      <xdr:row>75</xdr:row>
      <xdr:rowOff>84291</xdr:rowOff>
    </xdr:from>
    <xdr:to>
      <xdr:col>2</xdr:col>
      <xdr:colOff>1778563</xdr:colOff>
      <xdr:row>83</xdr:row>
      <xdr:rowOff>43115</xdr:rowOff>
    </xdr:to>
    <xdr:pic>
      <xdr:nvPicPr>
        <xdr:cNvPr id="3" name="Picture 2" descr="Hewlett Packard Enterprise AF567A power cable Black 2.5 m C13 coupler">
          <a:extLst>
            <a:ext uri="{FF2B5EF4-FFF2-40B4-BE49-F238E27FC236}">
              <a16:creationId xmlns:a16="http://schemas.microsoft.com/office/drawing/2014/main" id="{7B79E970-70E9-4E30-9DB5-EAFF372D2D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4223" y="20953566"/>
          <a:ext cx="1483540" cy="1482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86</xdr:row>
      <xdr:rowOff>67433</xdr:rowOff>
    </xdr:from>
    <xdr:to>
      <xdr:col>2</xdr:col>
      <xdr:colOff>1660553</xdr:colOff>
      <xdr:row>94</xdr:row>
      <xdr:rowOff>2536</xdr:rowOff>
    </xdr:to>
    <xdr:pic>
      <xdr:nvPicPr>
        <xdr:cNvPr id="4" name="Picture 3" descr="HPE Power Cord - 2m 10a IEC C13 - IEC C14 jumper (AF573A)">
          <a:extLst>
            <a:ext uri="{FF2B5EF4-FFF2-40B4-BE49-F238E27FC236}">
              <a16:creationId xmlns:a16="http://schemas.microsoft.com/office/drawing/2014/main" id="{796358BF-168B-44ED-9F19-1ADE781B32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1501" y="23032208"/>
          <a:ext cx="1458252" cy="1459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1428750</xdr:colOff>
      <xdr:row>0</xdr:row>
      <xdr:rowOff>0</xdr:rowOff>
    </xdr:from>
    <xdr:to>
      <xdr:col>2</xdr:col>
      <xdr:colOff>3743325</xdr:colOff>
      <xdr:row>5</xdr:row>
      <xdr:rowOff>171450</xdr:rowOff>
    </xdr:to>
    <xdr:pic>
      <xdr:nvPicPr>
        <xdr:cNvPr id="6" name="Picture 5">
          <a:extLst>
            <a:ext uri="{FF2B5EF4-FFF2-40B4-BE49-F238E27FC236}">
              <a16:creationId xmlns:a16="http://schemas.microsoft.com/office/drawing/2014/main" id="{CF9E9FFF-E6A6-23CD-D54B-5A7F14BF6EB1}"/>
            </a:ext>
            <a:ext uri="{147F2762-F138-4A5C-976F-8EAC2B608ADB}">
              <a16:predDERef xmlns:a16="http://schemas.microsoft.com/office/drawing/2014/main" pred="{796358BF-168B-44ED-9F19-1ADE781B323B}"/>
            </a:ext>
          </a:extLst>
        </xdr:cNvPr>
        <xdr:cNvPicPr>
          <a:picLocks noChangeAspect="1"/>
        </xdr:cNvPicPr>
      </xdr:nvPicPr>
      <xdr:blipFill>
        <a:blip xmlns:r="http://schemas.openxmlformats.org/officeDocument/2006/relationships" r:embed="rId3"/>
        <a:stretch>
          <a:fillRect/>
        </a:stretch>
      </xdr:blipFill>
      <xdr:spPr>
        <a:xfrm>
          <a:off x="2038350" y="0"/>
          <a:ext cx="3838575" cy="1076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295023</xdr:colOff>
      <xdr:row>74</xdr:row>
      <xdr:rowOff>84291</xdr:rowOff>
    </xdr:from>
    <xdr:to>
      <xdr:col>2</xdr:col>
      <xdr:colOff>1778563</xdr:colOff>
      <xdr:row>82</xdr:row>
      <xdr:rowOff>43115</xdr:rowOff>
    </xdr:to>
    <xdr:pic>
      <xdr:nvPicPr>
        <xdr:cNvPr id="3" name="Picture 2" descr="Hewlett Packard Enterprise AF567A power cable Black 2.5 m C13 coupler">
          <a:extLst>
            <a:ext uri="{FF2B5EF4-FFF2-40B4-BE49-F238E27FC236}">
              <a16:creationId xmlns:a16="http://schemas.microsoft.com/office/drawing/2014/main" id="{B535965E-81FB-4A52-8B63-9008354D1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4223" y="20953566"/>
          <a:ext cx="1483540" cy="1482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85</xdr:row>
      <xdr:rowOff>67433</xdr:rowOff>
    </xdr:from>
    <xdr:to>
      <xdr:col>2</xdr:col>
      <xdr:colOff>1660553</xdr:colOff>
      <xdr:row>93</xdr:row>
      <xdr:rowOff>2536</xdr:rowOff>
    </xdr:to>
    <xdr:pic>
      <xdr:nvPicPr>
        <xdr:cNvPr id="4" name="Picture 3" descr="HPE Power Cord - 2m 10a IEC C13 - IEC C14 jumper (AF573A)">
          <a:extLst>
            <a:ext uri="{FF2B5EF4-FFF2-40B4-BE49-F238E27FC236}">
              <a16:creationId xmlns:a16="http://schemas.microsoft.com/office/drawing/2014/main" id="{5314E2A7-CBF2-4CD9-84A0-0A1191529B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1501" y="23032208"/>
          <a:ext cx="1458252" cy="1459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xdr:colOff>
      <xdr:row>0</xdr:row>
      <xdr:rowOff>47625</xdr:rowOff>
    </xdr:from>
    <xdr:to>
      <xdr:col>2</xdr:col>
      <xdr:colOff>3743325</xdr:colOff>
      <xdr:row>4</xdr:row>
      <xdr:rowOff>161925</xdr:rowOff>
    </xdr:to>
    <xdr:pic>
      <xdr:nvPicPr>
        <xdr:cNvPr id="7" name="Picture 6">
          <a:extLst>
            <a:ext uri="{FF2B5EF4-FFF2-40B4-BE49-F238E27FC236}">
              <a16:creationId xmlns:a16="http://schemas.microsoft.com/office/drawing/2014/main" id="{04D4A03E-C893-A5F6-B17B-935580514FEE}"/>
            </a:ext>
            <a:ext uri="{147F2762-F138-4A5C-976F-8EAC2B608ADB}">
              <a16:predDERef xmlns:a16="http://schemas.microsoft.com/office/drawing/2014/main" pred="{5314E2A7-CBF2-4CD9-84A0-0A1191529BEF}"/>
            </a:ext>
          </a:extLst>
        </xdr:cNvPr>
        <xdr:cNvPicPr>
          <a:picLocks noChangeAspect="1"/>
        </xdr:cNvPicPr>
      </xdr:nvPicPr>
      <xdr:blipFill>
        <a:blip xmlns:r="http://schemas.openxmlformats.org/officeDocument/2006/relationships" r:embed="rId3"/>
        <a:stretch>
          <a:fillRect/>
        </a:stretch>
      </xdr:blipFill>
      <xdr:spPr>
        <a:xfrm>
          <a:off x="2171700" y="47625"/>
          <a:ext cx="3705225" cy="838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857250</xdr:colOff>
      <xdr:row>0</xdr:row>
      <xdr:rowOff>9525</xdr:rowOff>
    </xdr:from>
    <xdr:to>
      <xdr:col>2</xdr:col>
      <xdr:colOff>5391150</xdr:colOff>
      <xdr:row>5</xdr:row>
      <xdr:rowOff>58182</xdr:rowOff>
    </xdr:to>
    <xdr:pic>
      <xdr:nvPicPr>
        <xdr:cNvPr id="2" name="Picture 1" descr="HPE ProLiant DL320 Gen11 | HPE South Africa">
          <a:extLst>
            <a:ext uri="{FF2B5EF4-FFF2-40B4-BE49-F238E27FC236}">
              <a16:creationId xmlns:a16="http://schemas.microsoft.com/office/drawing/2014/main" id="{D2CED34B-2570-4EBE-9801-F1D4EB701E0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82" b="32008"/>
        <a:stretch/>
      </xdr:blipFill>
      <xdr:spPr bwMode="auto">
        <a:xfrm>
          <a:off x="2518410" y="9525"/>
          <a:ext cx="4524375" cy="949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361698</xdr:colOff>
      <xdr:row>76</xdr:row>
      <xdr:rowOff>122391</xdr:rowOff>
    </xdr:from>
    <xdr:to>
      <xdr:col>2</xdr:col>
      <xdr:colOff>1841428</xdr:colOff>
      <xdr:row>84</xdr:row>
      <xdr:rowOff>92645</xdr:rowOff>
    </xdr:to>
    <xdr:pic>
      <xdr:nvPicPr>
        <xdr:cNvPr id="3" name="Picture 2" descr="Hewlett Packard Enterprise AF567A power cable Black 2.5 m C13 coupler">
          <a:extLst>
            <a:ext uri="{FF2B5EF4-FFF2-40B4-BE49-F238E27FC236}">
              <a16:creationId xmlns:a16="http://schemas.microsoft.com/office/drawing/2014/main" id="{3EC7F4D6-E84A-43C5-8394-093641761D4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90473" y="15829116"/>
          <a:ext cx="1479730" cy="1494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821426</xdr:colOff>
      <xdr:row>86</xdr:row>
      <xdr:rowOff>19808</xdr:rowOff>
    </xdr:from>
    <xdr:to>
      <xdr:col>2</xdr:col>
      <xdr:colOff>2275868</xdr:colOff>
      <xdr:row>93</xdr:row>
      <xdr:rowOff>164461</xdr:rowOff>
    </xdr:to>
    <xdr:pic>
      <xdr:nvPicPr>
        <xdr:cNvPr id="4" name="Picture 3" descr="HPE Power Cord - 2m 10a IEC C13 - IEC C14 jumper (AF573A)">
          <a:extLst>
            <a:ext uri="{FF2B5EF4-FFF2-40B4-BE49-F238E27FC236}">
              <a16:creationId xmlns:a16="http://schemas.microsoft.com/office/drawing/2014/main" id="{DA04800F-D1FE-4BCD-9172-EF941B25CCD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50201" y="17631533"/>
          <a:ext cx="1454442" cy="1478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200025</xdr:colOff>
      <xdr:row>0</xdr:row>
      <xdr:rowOff>0</xdr:rowOff>
    </xdr:from>
    <xdr:to>
      <xdr:col>2</xdr:col>
      <xdr:colOff>4724400</xdr:colOff>
      <xdr:row>5</xdr:row>
      <xdr:rowOff>35322</xdr:rowOff>
    </xdr:to>
    <xdr:pic>
      <xdr:nvPicPr>
        <xdr:cNvPr id="2" name="Picture 1" descr="HPE ProLiant DL320 Gen11 | HPE South Africa">
          <a:extLst>
            <a:ext uri="{FF2B5EF4-FFF2-40B4-BE49-F238E27FC236}">
              <a16:creationId xmlns:a16="http://schemas.microsoft.com/office/drawing/2014/main" id="{9E303C5D-F370-4640-A446-12C2D7E6B61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82" b="32008"/>
        <a:stretch/>
      </xdr:blipFill>
      <xdr:spPr bwMode="auto">
        <a:xfrm>
          <a:off x="2150745" y="0"/>
          <a:ext cx="4524375" cy="949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295023</xdr:colOff>
      <xdr:row>77</xdr:row>
      <xdr:rowOff>84291</xdr:rowOff>
    </xdr:from>
    <xdr:to>
      <xdr:col>2</xdr:col>
      <xdr:colOff>1778563</xdr:colOff>
      <xdr:row>85</xdr:row>
      <xdr:rowOff>43115</xdr:rowOff>
    </xdr:to>
    <xdr:pic>
      <xdr:nvPicPr>
        <xdr:cNvPr id="3" name="Picture 2" descr="Hewlett Packard Enterprise AF567A power cable Black 2.5 m C13 coupler">
          <a:extLst>
            <a:ext uri="{FF2B5EF4-FFF2-40B4-BE49-F238E27FC236}">
              <a16:creationId xmlns:a16="http://schemas.microsoft.com/office/drawing/2014/main" id="{AEEEEEA7-A6AE-48DE-A17E-7DA1FBA158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743" y="23218611"/>
          <a:ext cx="1483540" cy="14218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88</xdr:row>
      <xdr:rowOff>67433</xdr:rowOff>
    </xdr:from>
    <xdr:to>
      <xdr:col>2</xdr:col>
      <xdr:colOff>1660553</xdr:colOff>
      <xdr:row>96</xdr:row>
      <xdr:rowOff>2536</xdr:rowOff>
    </xdr:to>
    <xdr:pic>
      <xdr:nvPicPr>
        <xdr:cNvPr id="4" name="Picture 3" descr="HPE Power Cord - 2m 10a IEC C13 - IEC C14 jumper (AF573A)">
          <a:extLst>
            <a:ext uri="{FF2B5EF4-FFF2-40B4-BE49-F238E27FC236}">
              <a16:creationId xmlns:a16="http://schemas.microsoft.com/office/drawing/2014/main" id="{52DA035A-94B7-4B25-BB20-1B8D775D51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53021" y="25213433"/>
          <a:ext cx="1458252" cy="1398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895350</xdr:colOff>
      <xdr:row>0</xdr:row>
      <xdr:rowOff>0</xdr:rowOff>
    </xdr:from>
    <xdr:to>
      <xdr:col>2</xdr:col>
      <xdr:colOff>4511040</xdr:colOff>
      <xdr:row>7</xdr:row>
      <xdr:rowOff>73873</xdr:rowOff>
    </xdr:to>
    <xdr:pic>
      <xdr:nvPicPr>
        <xdr:cNvPr id="2" name="Picture 1" descr="HPE ProLiant DL345 Gen11 9354P 32-core - P75332-005 | ServerComputeWorks.com">
          <a:extLst>
            <a:ext uri="{FF2B5EF4-FFF2-40B4-BE49-F238E27FC236}">
              <a16:creationId xmlns:a16="http://schemas.microsoft.com/office/drawing/2014/main" id="{EA759027-1658-46EA-B757-50E40F13F14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125" t="32500" r="8000" b="33500"/>
        <a:stretch/>
      </xdr:blipFill>
      <xdr:spPr bwMode="auto">
        <a:xfrm>
          <a:off x="1501140" y="0"/>
          <a:ext cx="4663440" cy="1340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295023</xdr:colOff>
      <xdr:row>79</xdr:row>
      <xdr:rowOff>84291</xdr:rowOff>
    </xdr:from>
    <xdr:to>
      <xdr:col>2</xdr:col>
      <xdr:colOff>1770943</xdr:colOff>
      <xdr:row>87</xdr:row>
      <xdr:rowOff>46925</xdr:rowOff>
    </xdr:to>
    <xdr:pic>
      <xdr:nvPicPr>
        <xdr:cNvPr id="3" name="Picture 2" descr="Hewlett Packard Enterprise AF567A power cable Black 2.5 m C13 coupler">
          <a:extLst>
            <a:ext uri="{FF2B5EF4-FFF2-40B4-BE49-F238E27FC236}">
              <a16:creationId xmlns:a16="http://schemas.microsoft.com/office/drawing/2014/main" id="{8031F1AE-7A6A-4B07-B8ED-9588A8BDBC1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50468" y="24012996"/>
          <a:ext cx="1481635" cy="1406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90</xdr:row>
      <xdr:rowOff>67433</xdr:rowOff>
    </xdr:from>
    <xdr:to>
      <xdr:col>2</xdr:col>
      <xdr:colOff>1660553</xdr:colOff>
      <xdr:row>98</xdr:row>
      <xdr:rowOff>2536</xdr:rowOff>
    </xdr:to>
    <xdr:pic>
      <xdr:nvPicPr>
        <xdr:cNvPr id="4" name="Picture 3" descr="HPE Power Cord - 2m 10a IEC C13 - IEC C14 jumper (AF573A)">
          <a:extLst>
            <a:ext uri="{FF2B5EF4-FFF2-40B4-BE49-F238E27FC236}">
              <a16:creationId xmlns:a16="http://schemas.microsoft.com/office/drawing/2014/main" id="{BD084110-898C-40DC-A008-53909F2BE68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63461" y="25983053"/>
          <a:ext cx="1450632" cy="13848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28575</xdr:colOff>
      <xdr:row>0</xdr:row>
      <xdr:rowOff>0</xdr:rowOff>
    </xdr:from>
    <xdr:to>
      <xdr:col>2</xdr:col>
      <xdr:colOff>4657725</xdr:colOff>
      <xdr:row>7</xdr:row>
      <xdr:rowOff>73873</xdr:rowOff>
    </xdr:to>
    <xdr:pic>
      <xdr:nvPicPr>
        <xdr:cNvPr id="2" name="Picture 1" descr="HPE ProLiant DL345 Gen11 9354P 32-core - P75332-005 | ServerComputeWorks.com">
          <a:extLst>
            <a:ext uri="{FF2B5EF4-FFF2-40B4-BE49-F238E27FC236}">
              <a16:creationId xmlns:a16="http://schemas.microsoft.com/office/drawing/2014/main" id="{00D76699-FF2E-446C-9477-AD2A7E64DF5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125" t="32500" r="8000" b="33500"/>
        <a:stretch/>
      </xdr:blipFill>
      <xdr:spPr bwMode="auto">
        <a:xfrm>
          <a:off x="1727835" y="0"/>
          <a:ext cx="4629150" cy="1354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295023</xdr:colOff>
      <xdr:row>80</xdr:row>
      <xdr:rowOff>84291</xdr:rowOff>
    </xdr:from>
    <xdr:to>
      <xdr:col>2</xdr:col>
      <xdr:colOff>1778563</xdr:colOff>
      <xdr:row>88</xdr:row>
      <xdr:rowOff>43115</xdr:rowOff>
    </xdr:to>
    <xdr:pic>
      <xdr:nvPicPr>
        <xdr:cNvPr id="3" name="Picture 2" descr="Hewlett Packard Enterprise AF567A power cable Black 2.5 m C13 coupler">
          <a:extLst>
            <a:ext uri="{FF2B5EF4-FFF2-40B4-BE49-F238E27FC236}">
              <a16:creationId xmlns:a16="http://schemas.microsoft.com/office/drawing/2014/main" id="{8254E991-5BA7-44C0-8F93-664AFECADCA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94283" y="23561511"/>
          <a:ext cx="1483540" cy="14218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202301</xdr:colOff>
      <xdr:row>91</xdr:row>
      <xdr:rowOff>19808</xdr:rowOff>
    </xdr:from>
    <xdr:to>
      <xdr:col>2</xdr:col>
      <xdr:colOff>1660553</xdr:colOff>
      <xdr:row>98</xdr:row>
      <xdr:rowOff>145411</xdr:rowOff>
    </xdr:to>
    <xdr:pic>
      <xdr:nvPicPr>
        <xdr:cNvPr id="4" name="Picture 3" descr="HPE Power Cord - 2m 10a IEC C13 - IEC C14 jumper (AF573A)">
          <a:extLst>
            <a:ext uri="{FF2B5EF4-FFF2-40B4-BE49-F238E27FC236}">
              <a16:creationId xmlns:a16="http://schemas.microsoft.com/office/drawing/2014/main" id="{73966D64-5241-4CCF-BB5D-26C821590D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69176" y="18736433"/>
          <a:ext cx="1458252" cy="1459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584834</xdr:colOff>
      <xdr:row>16</xdr:row>
      <xdr:rowOff>152400</xdr:rowOff>
    </xdr:to>
    <xdr:pic>
      <xdr:nvPicPr>
        <xdr:cNvPr id="2" name="Picture 1" descr="Access Switches for Enterprise | HPE Aruba Networking">
          <a:extLst>
            <a:ext uri="{FF2B5EF4-FFF2-40B4-BE49-F238E27FC236}">
              <a16:creationId xmlns:a16="http://schemas.microsoft.com/office/drawing/2014/main" id="{3E7E208F-5796-4CE9-9BB4-A7F82BC510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02979"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484E9E8B-8552-4D74-8ED2-13738E8A5EE9}"/>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9BDD7-907C-4E7D-A12B-0EF399B29FFC}">
  <sheetPr>
    <tabColor theme="6" tint="0.79998168889431442"/>
  </sheetPr>
  <dimension ref="A6:AN102"/>
  <sheetViews>
    <sheetView tabSelected="1" topLeftCell="A25" zoomScaleNormal="100" workbookViewId="0">
      <selection activeCell="F49" sqref="F49"/>
    </sheetView>
  </sheetViews>
  <sheetFormatPr defaultRowHeight="15" x14ac:dyDescent="0.25"/>
  <cols>
    <col min="1" max="1" width="4.5703125" customWidth="1"/>
    <col min="2" max="2" width="13.7109375" bestFit="1" customWidth="1"/>
    <col min="3" max="3" width="88" customWidth="1"/>
    <col min="4" max="4" width="16.140625" style="3" hidden="1" customWidth="1"/>
    <col min="5" max="5" width="14.42578125" style="3" hidden="1" customWidth="1"/>
    <col min="6" max="6" width="16.140625" style="3" customWidth="1"/>
    <col min="7" max="7" width="45" customWidth="1"/>
  </cols>
  <sheetData>
    <row r="6" spans="1:9" x14ac:dyDescent="0.25">
      <c r="I6" s="10"/>
    </row>
    <row r="8" spans="1:9" ht="72.75" customHeight="1" x14ac:dyDescent="0.25">
      <c r="B8" s="153" t="s">
        <v>0</v>
      </c>
      <c r="C8" s="153"/>
      <c r="D8" s="153"/>
      <c r="E8" s="153"/>
      <c r="F8" s="24"/>
    </row>
    <row r="11" spans="1:9" ht="15.75" customHeight="1" x14ac:dyDescent="0.25">
      <c r="A11" s="150" t="s">
        <v>1</v>
      </c>
      <c r="B11" s="150" t="s">
        <v>2</v>
      </c>
      <c r="C11" s="150" t="s">
        <v>3</v>
      </c>
      <c r="D11" s="144" t="s">
        <v>4</v>
      </c>
      <c r="E11" s="144"/>
      <c r="F11" s="144" t="s">
        <v>5</v>
      </c>
    </row>
    <row r="12" spans="1:9" ht="15.75" customHeight="1" x14ac:dyDescent="0.25">
      <c r="A12" s="150"/>
      <c r="B12" s="150"/>
      <c r="C12" s="150"/>
      <c r="D12" s="144"/>
      <c r="E12" s="144"/>
      <c r="F12" s="144"/>
    </row>
    <row r="13" spans="1:9" x14ac:dyDescent="0.25">
      <c r="A13" s="154" t="s">
        <v>6</v>
      </c>
      <c r="B13" s="154"/>
      <c r="C13" s="154"/>
      <c r="D13" s="154"/>
    </row>
    <row r="14" spans="1:9" ht="105" x14ac:dyDescent="0.25">
      <c r="A14" s="123">
        <v>1</v>
      </c>
      <c r="B14" s="123" t="s">
        <v>7</v>
      </c>
      <c r="C14" s="123" t="s">
        <v>8</v>
      </c>
      <c r="D14" s="123"/>
      <c r="E14" s="123"/>
      <c r="F14" s="123"/>
      <c r="G14" s="27" t="s">
        <v>253</v>
      </c>
    </row>
    <row r="15" spans="1:9" ht="15.75" x14ac:dyDescent="0.25">
      <c r="A15" s="151" t="s">
        <v>10</v>
      </c>
      <c r="B15" s="152"/>
      <c r="C15" s="124"/>
      <c r="D15" s="125"/>
      <c r="E15" s="126"/>
      <c r="F15" s="126">
        <v>85000</v>
      </c>
    </row>
    <row r="16" spans="1:9" x14ac:dyDescent="0.25">
      <c r="D16" s="7"/>
    </row>
    <row r="17" spans="1:11" x14ac:dyDescent="0.25">
      <c r="D17" s="7"/>
    </row>
    <row r="18" spans="1:11" x14ac:dyDescent="0.25">
      <c r="A18" s="150" t="s">
        <v>1</v>
      </c>
      <c r="B18" s="150" t="s">
        <v>2</v>
      </c>
      <c r="C18" s="150" t="s">
        <v>3</v>
      </c>
      <c r="D18" s="144" t="s">
        <v>4</v>
      </c>
      <c r="E18" s="144"/>
      <c r="F18" s="144" t="s">
        <v>5</v>
      </c>
    </row>
    <row r="19" spans="1:11" x14ac:dyDescent="0.25">
      <c r="A19" s="150"/>
      <c r="B19" s="150"/>
      <c r="C19" s="150"/>
      <c r="D19" s="144"/>
      <c r="E19" s="144"/>
      <c r="F19" s="144"/>
    </row>
    <row r="20" spans="1:11" ht="15.75" x14ac:dyDescent="0.25">
      <c r="A20" s="149" t="s">
        <v>212</v>
      </c>
      <c r="B20" s="149"/>
      <c r="C20" s="149"/>
      <c r="D20" s="149"/>
      <c r="F20" s="37"/>
    </row>
    <row r="21" spans="1:11" x14ac:dyDescent="0.25">
      <c r="A21" s="115">
        <v>1</v>
      </c>
      <c r="B21" s="44" t="s">
        <v>213</v>
      </c>
      <c r="C21" s="44" t="s">
        <v>163</v>
      </c>
      <c r="D21" s="44"/>
      <c r="E21" s="127">
        <v>33269</v>
      </c>
      <c r="F21" s="116" t="s">
        <v>245</v>
      </c>
    </row>
    <row r="22" spans="1:11" x14ac:dyDescent="0.25">
      <c r="A22" s="115">
        <v>1</v>
      </c>
      <c r="B22" s="44" t="s">
        <v>12</v>
      </c>
      <c r="C22" s="44" t="s">
        <v>13</v>
      </c>
      <c r="D22" s="44"/>
      <c r="E22" s="127">
        <v>46560</v>
      </c>
      <c r="F22" s="116" t="s">
        <v>246</v>
      </c>
    </row>
    <row r="23" spans="1:11" x14ac:dyDescent="0.25">
      <c r="A23" s="115">
        <v>1</v>
      </c>
      <c r="B23" s="44" t="s">
        <v>16</v>
      </c>
      <c r="C23" s="44" t="s">
        <v>17</v>
      </c>
      <c r="D23" s="44"/>
      <c r="E23" s="127">
        <v>52529</v>
      </c>
      <c r="F23" s="116" t="s">
        <v>247</v>
      </c>
    </row>
    <row r="24" spans="1:11" x14ac:dyDescent="0.25">
      <c r="A24" s="115">
        <v>1</v>
      </c>
      <c r="B24" s="44" t="s">
        <v>18</v>
      </c>
      <c r="C24" s="44" t="s">
        <v>19</v>
      </c>
      <c r="D24" s="44"/>
      <c r="E24" s="127">
        <v>70756</v>
      </c>
      <c r="F24" s="116" t="s">
        <v>248</v>
      </c>
    </row>
    <row r="25" spans="1:11" x14ac:dyDescent="0.25">
      <c r="A25" s="115">
        <v>1</v>
      </c>
      <c r="B25" s="44" t="s">
        <v>20</v>
      </c>
      <c r="C25" s="44" t="s">
        <v>21</v>
      </c>
      <c r="D25" s="44"/>
      <c r="E25" s="127">
        <v>80386</v>
      </c>
      <c r="F25" s="116" t="s">
        <v>249</v>
      </c>
    </row>
    <row r="26" spans="1:11" x14ac:dyDescent="0.25">
      <c r="A26" s="115">
        <v>1</v>
      </c>
      <c r="B26" s="44" t="s">
        <v>14</v>
      </c>
      <c r="C26" s="44" t="s">
        <v>15</v>
      </c>
      <c r="D26" s="44"/>
      <c r="E26" s="127">
        <v>115525</v>
      </c>
      <c r="F26" s="116" t="s">
        <v>250</v>
      </c>
    </row>
    <row r="27" spans="1:11" x14ac:dyDescent="0.25">
      <c r="A27" s="43"/>
      <c r="B27" s="44"/>
      <c r="C27" s="44"/>
      <c r="D27" s="45"/>
      <c r="E27" s="128"/>
      <c r="F27" s="92"/>
    </row>
    <row r="28" spans="1:11" x14ac:dyDescent="0.25">
      <c r="A28" s="32"/>
      <c r="B28" s="39"/>
      <c r="C28" s="39"/>
      <c r="D28" s="40"/>
      <c r="E28" s="41"/>
      <c r="F28" s="42"/>
    </row>
    <row r="29" spans="1:11" x14ac:dyDescent="0.25">
      <c r="A29" s="12"/>
      <c r="B29" s="12"/>
      <c r="C29" s="12"/>
      <c r="D29"/>
      <c r="E29" s="15"/>
      <c r="F29" s="15"/>
    </row>
    <row r="30" spans="1:11" x14ac:dyDescent="0.25">
      <c r="A30" s="150" t="s">
        <v>1</v>
      </c>
      <c r="B30" s="150" t="s">
        <v>2</v>
      </c>
      <c r="C30" s="150" t="s">
        <v>3</v>
      </c>
      <c r="D30" s="144" t="s">
        <v>4</v>
      </c>
      <c r="E30" s="144"/>
      <c r="F30" s="144" t="s">
        <v>5</v>
      </c>
      <c r="H30" s="145"/>
      <c r="I30" s="145"/>
      <c r="J30" s="145"/>
      <c r="K30" s="3"/>
    </row>
    <row r="31" spans="1:11" x14ac:dyDescent="0.25">
      <c r="A31" s="150"/>
      <c r="B31" s="150"/>
      <c r="C31" s="150"/>
      <c r="D31" s="144"/>
      <c r="E31" s="144"/>
      <c r="F31" s="144"/>
      <c r="J31" s="7"/>
      <c r="K31" s="3"/>
    </row>
    <row r="32" spans="1:11" ht="15.75" x14ac:dyDescent="0.25">
      <c r="A32" s="149" t="s">
        <v>214</v>
      </c>
      <c r="B32" s="149"/>
      <c r="C32" s="149"/>
      <c r="D32" s="149"/>
      <c r="J32" s="7"/>
      <c r="K32" s="3"/>
    </row>
    <row r="33" spans="1:7" ht="15" customHeight="1" x14ac:dyDescent="0.25">
      <c r="A33" s="11">
        <v>1</v>
      </c>
      <c r="B33" s="11" t="s">
        <v>256</v>
      </c>
      <c r="C33" s="11" t="s">
        <v>257</v>
      </c>
      <c r="D33" s="11"/>
      <c r="E33" s="129">
        <v>263577</v>
      </c>
      <c r="F33" s="118">
        <v>28194</v>
      </c>
      <c r="G33" s="146" t="s">
        <v>90</v>
      </c>
    </row>
    <row r="34" spans="1:7" ht="15" customHeight="1" x14ac:dyDescent="0.25">
      <c r="A34" s="11">
        <v>1</v>
      </c>
      <c r="B34" s="11" t="s">
        <v>89</v>
      </c>
      <c r="C34" s="11" t="s">
        <v>22</v>
      </c>
      <c r="D34" s="11"/>
      <c r="E34" s="129">
        <v>263577</v>
      </c>
      <c r="F34" s="118">
        <f>E34-(E34*(4/5))</f>
        <v>52715.399999999994</v>
      </c>
      <c r="G34" s="146"/>
    </row>
    <row r="35" spans="1:7" x14ac:dyDescent="0.25">
      <c r="A35" s="11">
        <v>1</v>
      </c>
      <c r="B35" s="11" t="s">
        <v>23</v>
      </c>
      <c r="C35" s="36" t="s">
        <v>24</v>
      </c>
      <c r="D35" s="11"/>
      <c r="E35" s="129">
        <v>891716</v>
      </c>
      <c r="F35" s="118">
        <f t="shared" ref="F35:F36" si="0">E35-(E35*(4/5))</f>
        <v>178343.19999999995</v>
      </c>
      <c r="G35" s="146"/>
    </row>
    <row r="36" spans="1:7" x14ac:dyDescent="0.25">
      <c r="A36" s="11">
        <v>1</v>
      </c>
      <c r="B36" s="34" t="s">
        <v>25</v>
      </c>
      <c r="C36" s="33" t="s">
        <v>26</v>
      </c>
      <c r="D36" s="35"/>
      <c r="E36" s="129">
        <v>523226</v>
      </c>
      <c r="F36" s="118">
        <f t="shared" si="0"/>
        <v>104645.19999999995</v>
      </c>
      <c r="G36" s="146"/>
    </row>
    <row r="37" spans="1:7" x14ac:dyDescent="0.25">
      <c r="A37" s="11"/>
      <c r="B37" s="11"/>
      <c r="C37" s="11"/>
      <c r="D37" s="11"/>
      <c r="E37" s="91"/>
      <c r="F37" s="117"/>
    </row>
    <row r="38" spans="1:7" x14ac:dyDescent="0.25">
      <c r="D38" s="7"/>
    </row>
    <row r="39" spans="1:7" x14ac:dyDescent="0.25">
      <c r="D39" s="7"/>
    </row>
    <row r="40" spans="1:7" x14ac:dyDescent="0.25">
      <c r="D40" s="7"/>
    </row>
    <row r="41" spans="1:7" x14ac:dyDescent="0.25">
      <c r="A41" s="150" t="s">
        <v>1</v>
      </c>
      <c r="B41" s="150" t="s">
        <v>2</v>
      </c>
      <c r="C41" s="150" t="s">
        <v>3</v>
      </c>
      <c r="D41" s="144" t="s">
        <v>4</v>
      </c>
      <c r="E41" s="144"/>
      <c r="F41" s="144" t="s">
        <v>5</v>
      </c>
    </row>
    <row r="42" spans="1:7" x14ac:dyDescent="0.25">
      <c r="A42" s="150"/>
      <c r="B42" s="150"/>
      <c r="C42" s="150"/>
      <c r="D42" s="144"/>
      <c r="E42" s="144"/>
      <c r="F42" s="144"/>
    </row>
    <row r="43" spans="1:7" ht="15.75" x14ac:dyDescent="0.25">
      <c r="A43" s="149" t="s">
        <v>218</v>
      </c>
      <c r="B43" s="149"/>
      <c r="C43" s="149"/>
      <c r="D43" s="149"/>
      <c r="E43" s="7"/>
    </row>
    <row r="44" spans="1:7" x14ac:dyDescent="0.25">
      <c r="A44" s="87">
        <v>1</v>
      </c>
      <c r="B44" s="68" t="s">
        <v>119</v>
      </c>
      <c r="C44" s="68" t="s">
        <v>120</v>
      </c>
      <c r="D44" s="68"/>
      <c r="E44" s="130">
        <v>12396</v>
      </c>
      <c r="F44" s="119">
        <f>E44/2</f>
        <v>6198</v>
      </c>
      <c r="G44" s="147" t="s">
        <v>27</v>
      </c>
    </row>
    <row r="45" spans="1:7" x14ac:dyDescent="0.25">
      <c r="A45" s="87">
        <v>1</v>
      </c>
      <c r="B45" s="68" t="s">
        <v>121</v>
      </c>
      <c r="C45" s="68" t="s">
        <v>122</v>
      </c>
      <c r="D45" s="68"/>
      <c r="E45" s="130">
        <v>13563</v>
      </c>
      <c r="F45" s="119">
        <f t="shared" ref="F45:F49" si="1">E45/2</f>
        <v>6781.5</v>
      </c>
      <c r="G45" s="147"/>
    </row>
    <row r="46" spans="1:7" x14ac:dyDescent="0.25">
      <c r="A46" s="87">
        <v>1</v>
      </c>
      <c r="B46" s="68" t="s">
        <v>216</v>
      </c>
      <c r="C46" s="68" t="s">
        <v>95</v>
      </c>
      <c r="D46" s="68"/>
      <c r="E46" s="130">
        <v>16885</v>
      </c>
      <c r="F46" s="119">
        <f t="shared" si="1"/>
        <v>8442.5</v>
      </c>
      <c r="G46" s="147"/>
    </row>
    <row r="47" spans="1:7" x14ac:dyDescent="0.25">
      <c r="A47" s="87">
        <v>1</v>
      </c>
      <c r="B47" s="68" t="s">
        <v>215</v>
      </c>
      <c r="C47" s="68" t="s">
        <v>96</v>
      </c>
      <c r="D47" s="68"/>
      <c r="E47" s="130">
        <v>24410</v>
      </c>
      <c r="F47" s="119">
        <f t="shared" si="1"/>
        <v>12205</v>
      </c>
      <c r="G47" s="147"/>
    </row>
    <row r="48" spans="1:7" x14ac:dyDescent="0.25">
      <c r="A48" s="87">
        <v>1</v>
      </c>
      <c r="B48" s="68" t="s">
        <v>217</v>
      </c>
      <c r="C48" s="68" t="s">
        <v>98</v>
      </c>
      <c r="D48" s="68"/>
      <c r="E48" s="130">
        <v>25288</v>
      </c>
      <c r="F48" s="119">
        <f t="shared" si="1"/>
        <v>12644</v>
      </c>
      <c r="G48" s="147"/>
    </row>
    <row r="49" spans="1:40" x14ac:dyDescent="0.25">
      <c r="A49" s="87">
        <v>1</v>
      </c>
      <c r="B49" s="68" t="s">
        <v>28</v>
      </c>
      <c r="C49" s="68" t="s">
        <v>29</v>
      </c>
      <c r="D49" s="68"/>
      <c r="E49" s="130">
        <v>163520</v>
      </c>
      <c r="F49" s="119">
        <v>33104</v>
      </c>
      <c r="G49" s="147"/>
    </row>
    <row r="50" spans="1:40" x14ac:dyDescent="0.25">
      <c r="A50" s="87"/>
      <c r="B50" s="68"/>
      <c r="C50" s="68"/>
      <c r="D50" s="88"/>
      <c r="E50" s="89"/>
      <c r="F50" s="90"/>
      <c r="G50" s="147"/>
    </row>
    <row r="51" spans="1:40" x14ac:dyDescent="0.25">
      <c r="G51" s="147"/>
    </row>
    <row r="52" spans="1:40" x14ac:dyDescent="0.25">
      <c r="D52" s="9"/>
    </row>
    <row r="53" spans="1:40" ht="14.45" customHeight="1" x14ac:dyDescent="0.25">
      <c r="A53" s="150" t="s">
        <v>1</v>
      </c>
      <c r="B53" s="150" t="s">
        <v>2</v>
      </c>
      <c r="C53" s="150" t="s">
        <v>3</v>
      </c>
      <c r="D53" s="144" t="s">
        <v>4</v>
      </c>
      <c r="E53" s="144"/>
      <c r="F53" s="144" t="s">
        <v>5</v>
      </c>
    </row>
    <row r="54" spans="1:40" s="1" customFormat="1" ht="27.75" customHeight="1" x14ac:dyDescent="0.25">
      <c r="A54" s="150"/>
      <c r="B54" s="150"/>
      <c r="C54" s="150"/>
      <c r="D54" s="144"/>
      <c r="E54" s="144"/>
      <c r="F54" s="144"/>
      <c r="G54"/>
      <c r="H54"/>
      <c r="I54"/>
      <c r="J54"/>
      <c r="K54"/>
      <c r="L54"/>
      <c r="M54"/>
      <c r="N54"/>
      <c r="O54"/>
      <c r="P54"/>
      <c r="Q54"/>
      <c r="R54"/>
      <c r="S54"/>
      <c r="T54"/>
      <c r="U54"/>
      <c r="V54"/>
      <c r="W54"/>
      <c r="X54"/>
      <c r="Y54"/>
      <c r="Z54"/>
      <c r="AA54"/>
      <c r="AB54"/>
      <c r="AC54"/>
      <c r="AD54"/>
      <c r="AE54"/>
      <c r="AF54"/>
      <c r="AG54"/>
      <c r="AH54"/>
      <c r="AI54"/>
      <c r="AJ54"/>
      <c r="AK54"/>
      <c r="AL54"/>
      <c r="AM54"/>
      <c r="AN54"/>
    </row>
    <row r="55" spans="1:40" ht="15.75" x14ac:dyDescent="0.25">
      <c r="A55" s="149" t="s">
        <v>219</v>
      </c>
      <c r="B55" s="149"/>
      <c r="C55" s="149"/>
      <c r="D55" s="149"/>
    </row>
    <row r="56" spans="1:40" x14ac:dyDescent="0.25">
      <c r="A56" s="50">
        <v>1</v>
      </c>
      <c r="B56" s="48" t="s">
        <v>38</v>
      </c>
      <c r="C56" s="49" t="s">
        <v>39</v>
      </c>
      <c r="D56" s="46"/>
      <c r="E56" s="131">
        <v>9191</v>
      </c>
      <c r="F56" s="120">
        <f>E56/2</f>
        <v>4595.5</v>
      </c>
    </row>
    <row r="57" spans="1:40" x14ac:dyDescent="0.25">
      <c r="A57" s="34">
        <v>1</v>
      </c>
      <c r="B57" s="48" t="s">
        <v>34</v>
      </c>
      <c r="C57" s="49" t="s">
        <v>35</v>
      </c>
      <c r="D57" s="46"/>
      <c r="E57" s="132">
        <v>17813</v>
      </c>
      <c r="F57" s="120">
        <f t="shared" ref="F57:F60" si="2">E57/2</f>
        <v>8906.5</v>
      </c>
      <c r="G57" s="148" t="s">
        <v>80</v>
      </c>
    </row>
    <row r="58" spans="1:40" x14ac:dyDescent="0.25">
      <c r="A58" s="34">
        <v>1</v>
      </c>
      <c r="B58" s="46" t="s">
        <v>32</v>
      </c>
      <c r="C58" s="46" t="s">
        <v>33</v>
      </c>
      <c r="D58" s="46"/>
      <c r="E58" s="133">
        <v>20940</v>
      </c>
      <c r="F58" s="120">
        <f t="shared" si="2"/>
        <v>10470</v>
      </c>
      <c r="G58" s="148"/>
    </row>
    <row r="59" spans="1:40" ht="13.5" customHeight="1" x14ac:dyDescent="0.25">
      <c r="A59" s="50">
        <v>1</v>
      </c>
      <c r="B59" s="48" t="s">
        <v>36</v>
      </c>
      <c r="C59" s="49" t="s">
        <v>37</v>
      </c>
      <c r="D59" s="46"/>
      <c r="E59" s="132">
        <v>22437</v>
      </c>
      <c r="F59" s="120">
        <f t="shared" si="2"/>
        <v>11218.5</v>
      </c>
      <c r="G59" s="148"/>
    </row>
    <row r="60" spans="1:40" s="1" customFormat="1" x14ac:dyDescent="0.25">
      <c r="A60" s="34">
        <v>1</v>
      </c>
      <c r="B60" s="48" t="s">
        <v>40</v>
      </c>
      <c r="C60" s="48" t="s">
        <v>41</v>
      </c>
      <c r="D60" s="46"/>
      <c r="E60" s="132">
        <v>49232</v>
      </c>
      <c r="F60" s="120">
        <f t="shared" si="2"/>
        <v>24616</v>
      </c>
      <c r="G60" s="148"/>
      <c r="H60"/>
      <c r="I60"/>
      <c r="J60"/>
      <c r="K60"/>
      <c r="L60"/>
      <c r="M60"/>
      <c r="N60"/>
      <c r="O60"/>
      <c r="P60"/>
      <c r="Q60"/>
      <c r="R60"/>
      <c r="S60"/>
      <c r="T60"/>
      <c r="U60"/>
      <c r="V60"/>
      <c r="W60"/>
      <c r="X60"/>
      <c r="Y60"/>
      <c r="Z60"/>
      <c r="AA60"/>
      <c r="AB60"/>
      <c r="AC60"/>
      <c r="AD60"/>
      <c r="AE60"/>
      <c r="AF60"/>
      <c r="AG60"/>
      <c r="AH60"/>
      <c r="AI60"/>
      <c r="AJ60"/>
      <c r="AK60"/>
      <c r="AL60"/>
      <c r="AM60"/>
      <c r="AN60"/>
    </row>
    <row r="61" spans="1:40" s="1" customFormat="1" ht="13.5" customHeight="1" x14ac:dyDescent="0.25">
      <c r="A61" s="48"/>
      <c r="B61" s="48"/>
      <c r="C61" s="48"/>
      <c r="D61" s="48"/>
      <c r="E61" s="48"/>
      <c r="F61" s="48"/>
      <c r="G61" s="148"/>
      <c r="H61"/>
      <c r="I61"/>
      <c r="J61"/>
      <c r="K61"/>
      <c r="L61"/>
      <c r="M61"/>
      <c r="N61"/>
      <c r="O61"/>
      <c r="P61"/>
      <c r="Q61"/>
      <c r="R61"/>
      <c r="S61"/>
      <c r="T61"/>
      <c r="U61"/>
      <c r="V61"/>
      <c r="W61"/>
      <c r="X61"/>
      <c r="Y61"/>
      <c r="Z61"/>
      <c r="AA61"/>
      <c r="AB61"/>
      <c r="AC61"/>
      <c r="AD61"/>
      <c r="AE61"/>
      <c r="AF61"/>
      <c r="AG61"/>
      <c r="AH61"/>
      <c r="AI61"/>
      <c r="AJ61"/>
      <c r="AK61"/>
      <c r="AL61"/>
      <c r="AM61"/>
      <c r="AN61"/>
    </row>
    <row r="62" spans="1:40" x14ac:dyDescent="0.25">
      <c r="G62" s="148"/>
    </row>
    <row r="63" spans="1:40" x14ac:dyDescent="0.25">
      <c r="D63" s="7"/>
    </row>
    <row r="64" spans="1:40" x14ac:dyDescent="0.25">
      <c r="A64" s="150" t="s">
        <v>1</v>
      </c>
      <c r="B64" s="150" t="s">
        <v>2</v>
      </c>
      <c r="C64" s="150" t="s">
        <v>3</v>
      </c>
      <c r="D64" s="144" t="s">
        <v>4</v>
      </c>
      <c r="E64" s="144"/>
      <c r="F64" s="144" t="s">
        <v>5</v>
      </c>
    </row>
    <row r="65" spans="1:7" x14ac:dyDescent="0.25">
      <c r="A65" s="150"/>
      <c r="B65" s="150"/>
      <c r="C65" s="150"/>
      <c r="D65" s="144"/>
      <c r="E65" s="144"/>
      <c r="F65" s="144"/>
    </row>
    <row r="66" spans="1:7" ht="21.75" customHeight="1" x14ac:dyDescent="0.25">
      <c r="A66" s="149" t="s">
        <v>223</v>
      </c>
      <c r="B66" s="149"/>
      <c r="C66" s="149"/>
      <c r="D66" s="149"/>
      <c r="G66" s="147" t="s">
        <v>42</v>
      </c>
    </row>
    <row r="67" spans="1:7" x14ac:dyDescent="0.25">
      <c r="A67" s="46">
        <v>1</v>
      </c>
      <c r="B67" s="54" t="s">
        <v>43</v>
      </c>
      <c r="C67" s="49" t="s">
        <v>44</v>
      </c>
      <c r="D67" s="52"/>
      <c r="E67" s="134">
        <v>16960</v>
      </c>
      <c r="F67" s="121">
        <f>E67/2</f>
        <v>8480</v>
      </c>
      <c r="G67" s="147"/>
    </row>
    <row r="68" spans="1:7" x14ac:dyDescent="0.25">
      <c r="A68" s="46">
        <v>1</v>
      </c>
      <c r="B68" s="48" t="s">
        <v>45</v>
      </c>
      <c r="C68" s="49" t="s">
        <v>46</v>
      </c>
      <c r="D68" s="52"/>
      <c r="E68" s="134">
        <v>26056</v>
      </c>
      <c r="F68" s="121">
        <f t="shared" ref="F68:F69" si="3">E68/2</f>
        <v>13028</v>
      </c>
      <c r="G68" s="147"/>
    </row>
    <row r="69" spans="1:7" x14ac:dyDescent="0.25">
      <c r="A69" s="46">
        <v>1</v>
      </c>
      <c r="B69" s="48" t="s">
        <v>47</v>
      </c>
      <c r="C69" s="49" t="s">
        <v>48</v>
      </c>
      <c r="D69" s="52"/>
      <c r="E69" s="134">
        <v>28141</v>
      </c>
      <c r="F69" s="121">
        <f t="shared" si="3"/>
        <v>14070.5</v>
      </c>
      <c r="G69" s="147"/>
    </row>
    <row r="70" spans="1:7" x14ac:dyDescent="0.25">
      <c r="A70" s="46">
        <v>1</v>
      </c>
      <c r="B70" s="48" t="s">
        <v>49</v>
      </c>
      <c r="C70" s="49" t="s">
        <v>50</v>
      </c>
      <c r="D70" s="52"/>
      <c r="E70" s="134">
        <v>47546</v>
      </c>
      <c r="F70" s="121">
        <f>E70/2</f>
        <v>23773</v>
      </c>
      <c r="G70" s="147"/>
    </row>
    <row r="71" spans="1:7" x14ac:dyDescent="0.25">
      <c r="B71" s="29"/>
      <c r="C71" s="31"/>
      <c r="D71" s="7"/>
      <c r="E71" s="135"/>
      <c r="F71"/>
    </row>
    <row r="72" spans="1:7" x14ac:dyDescent="0.25">
      <c r="A72" s="150" t="s">
        <v>1</v>
      </c>
      <c r="B72" s="150" t="s">
        <v>2</v>
      </c>
      <c r="C72" s="150" t="s">
        <v>3</v>
      </c>
      <c r="D72" s="144" t="s">
        <v>4</v>
      </c>
      <c r="E72" s="144"/>
      <c r="F72" s="144" t="s">
        <v>5</v>
      </c>
    </row>
    <row r="73" spans="1:7" x14ac:dyDescent="0.25">
      <c r="A73" s="150"/>
      <c r="B73" s="150"/>
      <c r="C73" s="150"/>
      <c r="D73" s="144"/>
      <c r="E73" s="144"/>
      <c r="F73" s="144"/>
      <c r="G73" s="146" t="s">
        <v>51</v>
      </c>
    </row>
    <row r="74" spans="1:7" ht="15.75" x14ac:dyDescent="0.25">
      <c r="A74" s="149" t="s">
        <v>52</v>
      </c>
      <c r="B74" s="149"/>
      <c r="C74" s="149"/>
      <c r="D74" s="149"/>
      <c r="G74" s="146"/>
    </row>
    <row r="75" spans="1:7" x14ac:dyDescent="0.25">
      <c r="A75" s="33">
        <v>1</v>
      </c>
      <c r="B75" s="33" t="s">
        <v>53</v>
      </c>
      <c r="C75" s="33" t="s">
        <v>54</v>
      </c>
      <c r="D75" s="33" t="s">
        <v>55</v>
      </c>
      <c r="E75" s="83">
        <v>1232</v>
      </c>
      <c r="F75" s="83">
        <v>1232</v>
      </c>
      <c r="G75" s="146"/>
    </row>
    <row r="76" spans="1:7" x14ac:dyDescent="0.25">
      <c r="A76" s="33">
        <v>1</v>
      </c>
      <c r="B76" s="33" t="s">
        <v>56</v>
      </c>
      <c r="C76" s="33" t="s">
        <v>57</v>
      </c>
      <c r="D76" s="33" t="s">
        <v>58</v>
      </c>
      <c r="E76" s="83">
        <v>720</v>
      </c>
      <c r="F76" s="83">
        <v>720</v>
      </c>
      <c r="G76" s="146"/>
    </row>
    <row r="77" spans="1:7" x14ac:dyDescent="0.25">
      <c r="D77"/>
      <c r="E77"/>
      <c r="F77"/>
    </row>
    <row r="78" spans="1:7" x14ac:dyDescent="0.25">
      <c r="D78"/>
      <c r="E78"/>
      <c r="F78"/>
    </row>
    <row r="79" spans="1:7" s="4" customFormat="1" ht="18" x14ac:dyDescent="0.25">
      <c r="B79"/>
      <c r="C79" s="106" t="s">
        <v>54</v>
      </c>
      <c r="D79"/>
      <c r="E79"/>
      <c r="F79"/>
    </row>
    <row r="80" spans="1:7" x14ac:dyDescent="0.25">
      <c r="D80"/>
      <c r="E80"/>
      <c r="F80"/>
    </row>
    <row r="81" spans="3:6" x14ac:dyDescent="0.25">
      <c r="D81"/>
      <c r="E81"/>
      <c r="F81"/>
    </row>
    <row r="82" spans="3:6" x14ac:dyDescent="0.25">
      <c r="D82"/>
      <c r="E82"/>
      <c r="F82"/>
    </row>
    <row r="83" spans="3:6" x14ac:dyDescent="0.25">
      <c r="D83"/>
      <c r="E83"/>
      <c r="F83"/>
    </row>
    <row r="84" spans="3:6" x14ac:dyDescent="0.25">
      <c r="D84"/>
      <c r="E84"/>
      <c r="F84"/>
    </row>
    <row r="85" spans="3:6" x14ac:dyDescent="0.25">
      <c r="D85"/>
      <c r="E85"/>
      <c r="F85"/>
    </row>
    <row r="86" spans="3:6" x14ac:dyDescent="0.25">
      <c r="D86"/>
      <c r="E86"/>
      <c r="F86"/>
    </row>
    <row r="87" spans="3:6" x14ac:dyDescent="0.25">
      <c r="D87"/>
      <c r="E87"/>
      <c r="F87"/>
    </row>
    <row r="88" spans="3:6" x14ac:dyDescent="0.25">
      <c r="D88"/>
      <c r="E88"/>
      <c r="F88"/>
    </row>
    <row r="89" spans="3:6" x14ac:dyDescent="0.25">
      <c r="D89"/>
      <c r="E89"/>
      <c r="F89"/>
    </row>
    <row r="90" spans="3:6" x14ac:dyDescent="0.25">
      <c r="C90" s="106" t="s">
        <v>59</v>
      </c>
      <c r="D90"/>
      <c r="E90"/>
      <c r="F90"/>
    </row>
    <row r="91" spans="3:6" x14ac:dyDescent="0.25">
      <c r="D91"/>
      <c r="E91"/>
      <c r="F91"/>
    </row>
    <row r="92" spans="3:6" x14ac:dyDescent="0.25">
      <c r="D92"/>
      <c r="E92"/>
      <c r="F92"/>
    </row>
    <row r="93" spans="3:6" x14ac:dyDescent="0.25">
      <c r="D93"/>
      <c r="E93"/>
      <c r="F93"/>
    </row>
    <row r="94" spans="3:6" x14ac:dyDescent="0.25">
      <c r="D94"/>
      <c r="E94"/>
      <c r="F94"/>
    </row>
    <row r="95" spans="3:6" x14ac:dyDescent="0.25">
      <c r="D95"/>
      <c r="E95"/>
      <c r="F95"/>
    </row>
    <row r="96" spans="3:6" x14ac:dyDescent="0.25">
      <c r="D96"/>
      <c r="E96"/>
      <c r="F96"/>
    </row>
    <row r="97" customFormat="1" x14ac:dyDescent="0.25"/>
    <row r="98" customFormat="1" x14ac:dyDescent="0.25"/>
    <row r="99" customFormat="1" x14ac:dyDescent="0.25"/>
    <row r="100" customFormat="1" x14ac:dyDescent="0.25"/>
    <row r="101" customFormat="1" x14ac:dyDescent="0.25"/>
    <row r="102" customFormat="1" x14ac:dyDescent="0.25"/>
  </sheetData>
  <mergeCells count="50">
    <mergeCell ref="D11:E12"/>
    <mergeCell ref="B11:B12"/>
    <mergeCell ref="C11:C12"/>
    <mergeCell ref="A74:D74"/>
    <mergeCell ref="A66:D66"/>
    <mergeCell ref="A72:A73"/>
    <mergeCell ref="B72:B73"/>
    <mergeCell ref="C72:C73"/>
    <mergeCell ref="D72:E73"/>
    <mergeCell ref="B18:B19"/>
    <mergeCell ref="C18:C19"/>
    <mergeCell ref="D18:E19"/>
    <mergeCell ref="B8:E8"/>
    <mergeCell ref="A41:A42"/>
    <mergeCell ref="B41:B42"/>
    <mergeCell ref="C41:C42"/>
    <mergeCell ref="D41:E42"/>
    <mergeCell ref="A30:A31"/>
    <mergeCell ref="B30:B31"/>
    <mergeCell ref="C30:C31"/>
    <mergeCell ref="D30:E31"/>
    <mergeCell ref="A32:D32"/>
    <mergeCell ref="A11:A12"/>
    <mergeCell ref="A13:D13"/>
    <mergeCell ref="A20:D20"/>
    <mergeCell ref="F18:F19"/>
    <mergeCell ref="F11:F12"/>
    <mergeCell ref="F53:F54"/>
    <mergeCell ref="F64:F65"/>
    <mergeCell ref="D53:E54"/>
    <mergeCell ref="A43:D43"/>
    <mergeCell ref="A55:D55"/>
    <mergeCell ref="A64:A65"/>
    <mergeCell ref="B64:B65"/>
    <mergeCell ref="C64:C65"/>
    <mergeCell ref="D64:E65"/>
    <mergeCell ref="A53:A54"/>
    <mergeCell ref="B53:B54"/>
    <mergeCell ref="C53:C54"/>
    <mergeCell ref="A15:B15"/>
    <mergeCell ref="A18:A19"/>
    <mergeCell ref="F72:F73"/>
    <mergeCell ref="F41:F42"/>
    <mergeCell ref="H30:J30"/>
    <mergeCell ref="F30:F31"/>
    <mergeCell ref="G33:G36"/>
    <mergeCell ref="G73:G76"/>
    <mergeCell ref="G66:G70"/>
    <mergeCell ref="G44:G51"/>
    <mergeCell ref="G57:G62"/>
  </mergeCells>
  <phoneticPr fontId="24"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F1DEA-7E51-46C4-A30D-42BA41907045}">
  <sheetPr>
    <tabColor theme="1" tint="0.499984740745262"/>
  </sheetPr>
  <dimension ref="A9:I103"/>
  <sheetViews>
    <sheetView topLeftCell="A22" workbookViewId="0">
      <selection activeCell="E49" sqref="E49"/>
    </sheetView>
  </sheetViews>
  <sheetFormatPr defaultRowHeight="15" x14ac:dyDescent="0.25"/>
  <cols>
    <col min="2" max="2" width="13.7109375" bestFit="1" customWidth="1"/>
    <col min="3" max="3" width="86.85546875" bestFit="1" customWidth="1"/>
    <col min="4" max="4" width="7" style="2" hidden="1" customWidth="1"/>
    <col min="5" max="5" width="15.28515625" style="2" customWidth="1"/>
    <col min="6" max="6" width="57.140625" customWidth="1"/>
    <col min="7" max="7" width="15.140625" customWidth="1"/>
  </cols>
  <sheetData>
    <row r="9" spans="1:6" ht="15" customHeight="1" x14ac:dyDescent="0.25">
      <c r="B9" s="155" t="s">
        <v>60</v>
      </c>
      <c r="C9" s="155"/>
      <c r="D9" s="155"/>
      <c r="E9" s="24"/>
    </row>
    <row r="10" spans="1:6" ht="33.75" customHeight="1" x14ac:dyDescent="0.25">
      <c r="B10" s="155"/>
      <c r="C10" s="155"/>
      <c r="D10" s="155"/>
      <c r="E10" s="24"/>
    </row>
    <row r="11" spans="1:6" ht="14.45" customHeight="1" x14ac:dyDescent="0.25">
      <c r="B11" s="155"/>
      <c r="C11" s="155"/>
      <c r="D11" s="155"/>
    </row>
    <row r="13" spans="1:6" ht="15" customHeight="1" x14ac:dyDescent="0.25">
      <c r="A13" s="150" t="s">
        <v>1</v>
      </c>
      <c r="B13" s="150" t="s">
        <v>2</v>
      </c>
      <c r="C13" s="150" t="s">
        <v>3</v>
      </c>
      <c r="D13" s="144" t="s">
        <v>4</v>
      </c>
      <c r="E13" s="144" t="s">
        <v>5</v>
      </c>
    </row>
    <row r="14" spans="1:6" ht="15" customHeight="1" x14ac:dyDescent="0.25">
      <c r="A14" s="150"/>
      <c r="B14" s="150"/>
      <c r="C14" s="150"/>
      <c r="D14" s="144"/>
      <c r="E14" s="144"/>
    </row>
    <row r="15" spans="1:6" ht="15" customHeight="1" x14ac:dyDescent="0.25">
      <c r="A15" s="154" t="s">
        <v>6</v>
      </c>
      <c r="B15" s="154"/>
      <c r="C15" s="154"/>
      <c r="D15" s="154"/>
      <c r="E15" s="26"/>
    </row>
    <row r="16" spans="1:6" ht="73.5" customHeight="1" x14ac:dyDescent="0.25">
      <c r="A16" s="123">
        <v>1</v>
      </c>
      <c r="B16" s="123" t="s">
        <v>61</v>
      </c>
      <c r="C16" s="123" t="s">
        <v>251</v>
      </c>
      <c r="D16" s="139"/>
      <c r="E16" s="139"/>
      <c r="F16" s="156" t="s">
        <v>254</v>
      </c>
    </row>
    <row r="17" spans="1:7" ht="15.75" x14ac:dyDescent="0.25">
      <c r="A17" s="157" t="s">
        <v>62</v>
      </c>
      <c r="B17" s="158"/>
      <c r="C17" s="139"/>
      <c r="D17" s="139"/>
      <c r="E17" s="140">
        <v>86000</v>
      </c>
      <c r="F17" s="156"/>
    </row>
    <row r="18" spans="1:7" ht="15.75" x14ac:dyDescent="0.25">
      <c r="A18" s="136"/>
      <c r="B18" s="136"/>
      <c r="C18" s="136"/>
      <c r="D18" s="137"/>
      <c r="E18" s="138"/>
    </row>
    <row r="19" spans="1:7" x14ac:dyDescent="0.25">
      <c r="D19" s="7"/>
    </row>
    <row r="20" spans="1:7" x14ac:dyDescent="0.25">
      <c r="A20" s="150" t="s">
        <v>1</v>
      </c>
      <c r="B20" s="150" t="s">
        <v>2</v>
      </c>
      <c r="C20" s="150" t="s">
        <v>3</v>
      </c>
      <c r="D20" s="144" t="s">
        <v>4</v>
      </c>
      <c r="E20" s="144" t="s">
        <v>5</v>
      </c>
    </row>
    <row r="21" spans="1:7" ht="15" customHeight="1" x14ac:dyDescent="0.25">
      <c r="A21" s="150"/>
      <c r="B21" s="150"/>
      <c r="C21" s="150"/>
      <c r="D21" s="144"/>
      <c r="E21" s="144"/>
    </row>
    <row r="22" spans="1:7" ht="15.75" x14ac:dyDescent="0.25">
      <c r="A22" s="149" t="s">
        <v>63</v>
      </c>
      <c r="B22" s="149"/>
      <c r="C22" s="149"/>
      <c r="D22" s="149"/>
      <c r="E22" s="3"/>
    </row>
    <row r="23" spans="1:7" ht="15" customHeight="1" x14ac:dyDescent="0.25">
      <c r="A23" s="74">
        <v>1</v>
      </c>
      <c r="B23" s="48" t="s">
        <v>64</v>
      </c>
      <c r="C23" s="46" t="s">
        <v>65</v>
      </c>
      <c r="D23" s="52"/>
      <c r="E23" s="72">
        <f>30941/2</f>
        <v>15470.5</v>
      </c>
      <c r="G23" s="122"/>
    </row>
    <row r="24" spans="1:7" x14ac:dyDescent="0.25">
      <c r="A24" s="74">
        <v>1</v>
      </c>
      <c r="B24" s="48" t="s">
        <v>66</v>
      </c>
      <c r="C24" s="49" t="s">
        <v>67</v>
      </c>
      <c r="D24" s="52"/>
      <c r="E24" s="73">
        <f>42620/2</f>
        <v>21310</v>
      </c>
    </row>
    <row r="25" spans="1:7" x14ac:dyDescent="0.25">
      <c r="A25" s="74">
        <v>1</v>
      </c>
      <c r="B25" s="48" t="s">
        <v>68</v>
      </c>
      <c r="C25" s="49" t="s">
        <v>69</v>
      </c>
      <c r="D25" s="52"/>
      <c r="E25" s="121">
        <f>62797/2</f>
        <v>31398.5</v>
      </c>
    </row>
    <row r="26" spans="1:7" x14ac:dyDescent="0.25">
      <c r="A26" s="75">
        <v>1</v>
      </c>
      <c r="B26" s="59" t="s">
        <v>70</v>
      </c>
      <c r="C26" s="62" t="s">
        <v>71</v>
      </c>
      <c r="D26" s="61"/>
      <c r="E26" s="73">
        <f>119146/2</f>
        <v>59573</v>
      </c>
    </row>
    <row r="27" spans="1:7" x14ac:dyDescent="0.25">
      <c r="A27" s="75">
        <v>1</v>
      </c>
      <c r="B27" s="60" t="s">
        <v>72</v>
      </c>
      <c r="C27" s="59" t="s">
        <v>73</v>
      </c>
      <c r="D27" s="61"/>
      <c r="E27" s="73">
        <f>141849/2</f>
        <v>70924.5</v>
      </c>
    </row>
    <row r="28" spans="1:7" x14ac:dyDescent="0.25">
      <c r="A28" s="75">
        <v>1</v>
      </c>
      <c r="B28" s="59" t="s">
        <v>74</v>
      </c>
      <c r="C28" s="49" t="s">
        <v>75</v>
      </c>
      <c r="D28" s="61"/>
      <c r="E28" s="73">
        <f>158086/2</f>
        <v>79043</v>
      </c>
    </row>
    <row r="29" spans="1:7" x14ac:dyDescent="0.25">
      <c r="A29" s="75"/>
      <c r="B29" s="75"/>
      <c r="C29" s="75"/>
      <c r="D29" s="75"/>
      <c r="E29" s="75"/>
    </row>
    <row r="30" spans="1:7" x14ac:dyDescent="0.25">
      <c r="D30" s="7"/>
      <c r="E30"/>
    </row>
    <row r="31" spans="1:7" x14ac:dyDescent="0.25">
      <c r="A31" s="12"/>
      <c r="B31" s="12"/>
      <c r="C31" s="12"/>
      <c r="D31"/>
      <c r="E31" s="15"/>
    </row>
    <row r="32" spans="1:7" x14ac:dyDescent="0.25">
      <c r="A32" s="150" t="s">
        <v>1</v>
      </c>
      <c r="B32" s="150" t="s">
        <v>2</v>
      </c>
      <c r="C32" s="150" t="s">
        <v>3</v>
      </c>
      <c r="D32" s="144" t="s">
        <v>4</v>
      </c>
      <c r="E32" s="144" t="s">
        <v>5</v>
      </c>
    </row>
    <row r="33" spans="1:6" x14ac:dyDescent="0.25">
      <c r="A33" s="150"/>
      <c r="B33" s="150"/>
      <c r="C33" s="150"/>
      <c r="D33" s="144"/>
      <c r="E33" s="144"/>
    </row>
    <row r="34" spans="1:6" ht="15" customHeight="1" x14ac:dyDescent="0.25">
      <c r="A34" s="149" t="s">
        <v>220</v>
      </c>
      <c r="B34" s="149"/>
      <c r="C34" s="149"/>
      <c r="D34" s="149"/>
      <c r="E34" s="3"/>
    </row>
    <row r="35" spans="1:6" ht="15" customHeight="1" x14ac:dyDescent="0.25">
      <c r="A35" s="11">
        <v>1</v>
      </c>
      <c r="B35" s="11" t="s">
        <v>256</v>
      </c>
      <c r="C35" s="11" t="s">
        <v>257</v>
      </c>
      <c r="D35" s="25"/>
      <c r="E35" s="118">
        <v>28194</v>
      </c>
    </row>
    <row r="36" spans="1:6" x14ac:dyDescent="0.25">
      <c r="A36" s="74">
        <v>1</v>
      </c>
      <c r="B36" s="77" t="s">
        <v>76</v>
      </c>
      <c r="C36" s="77" t="s">
        <v>77</v>
      </c>
      <c r="D36" s="77"/>
      <c r="E36" s="78">
        <v>52715.399999999994</v>
      </c>
      <c r="F36" s="146" t="s">
        <v>90</v>
      </c>
    </row>
    <row r="37" spans="1:6" ht="19.5" customHeight="1" x14ac:dyDescent="0.25">
      <c r="A37" s="76">
        <v>1</v>
      </c>
      <c r="B37" s="77" t="s">
        <v>78</v>
      </c>
      <c r="C37" s="77" t="s">
        <v>26</v>
      </c>
      <c r="D37" s="79"/>
      <c r="E37" s="80">
        <v>178343.19999999995</v>
      </c>
      <c r="F37" s="146"/>
    </row>
    <row r="38" spans="1:6" ht="19.5" customHeight="1" x14ac:dyDescent="0.25">
      <c r="A38" s="74">
        <v>1</v>
      </c>
      <c r="B38" s="77" t="s">
        <v>79</v>
      </c>
      <c r="C38" s="77" t="s">
        <v>24</v>
      </c>
      <c r="D38" s="77"/>
      <c r="E38" s="78">
        <v>104645.19999999995</v>
      </c>
      <c r="F38" s="146"/>
    </row>
    <row r="39" spans="1:6" ht="19.5" customHeight="1" x14ac:dyDescent="0.25">
      <c r="A39" s="74"/>
      <c r="B39" s="74"/>
      <c r="C39" s="74"/>
      <c r="D39" s="74"/>
      <c r="E39" s="74"/>
    </row>
    <row r="40" spans="1:6" x14ac:dyDescent="0.25">
      <c r="D40"/>
      <c r="E40"/>
    </row>
    <row r="41" spans="1:6" x14ac:dyDescent="0.25">
      <c r="A41" s="150" t="s">
        <v>1</v>
      </c>
      <c r="B41" s="150" t="s">
        <v>2</v>
      </c>
      <c r="C41" s="150" t="s">
        <v>3</v>
      </c>
      <c r="D41" s="144" t="s">
        <v>4</v>
      </c>
      <c r="E41" s="144" t="s">
        <v>5</v>
      </c>
    </row>
    <row r="42" spans="1:6" x14ac:dyDescent="0.25">
      <c r="A42" s="150"/>
      <c r="B42" s="150"/>
      <c r="C42" s="150"/>
      <c r="D42" s="144"/>
      <c r="E42" s="144"/>
    </row>
    <row r="43" spans="1:6" ht="15.75" customHeight="1" x14ac:dyDescent="0.25">
      <c r="A43" s="149" t="s">
        <v>221</v>
      </c>
      <c r="B43" s="149"/>
      <c r="C43" s="149"/>
      <c r="D43" s="149"/>
      <c r="E43" s="3"/>
      <c r="F43" s="147" t="s">
        <v>27</v>
      </c>
    </row>
    <row r="44" spans="1:6" x14ac:dyDescent="0.25">
      <c r="A44" s="87">
        <v>1</v>
      </c>
      <c r="B44" s="68" t="s">
        <v>119</v>
      </c>
      <c r="C44" s="68" t="s">
        <v>120</v>
      </c>
      <c r="D44" s="68"/>
      <c r="E44" s="89">
        <v>6198</v>
      </c>
      <c r="F44" s="147"/>
    </row>
    <row r="45" spans="1:6" x14ac:dyDescent="0.25">
      <c r="A45" s="87">
        <v>1</v>
      </c>
      <c r="B45" s="68" t="s">
        <v>121</v>
      </c>
      <c r="C45" s="68" t="s">
        <v>122</v>
      </c>
      <c r="D45" s="68"/>
      <c r="E45" s="89">
        <v>6781.5</v>
      </c>
      <c r="F45" s="147"/>
    </row>
    <row r="46" spans="1:6" x14ac:dyDescent="0.25">
      <c r="A46" s="87">
        <v>1</v>
      </c>
      <c r="B46" s="68" t="s">
        <v>216</v>
      </c>
      <c r="C46" s="68" t="s">
        <v>95</v>
      </c>
      <c r="D46" s="68"/>
      <c r="E46" s="89">
        <v>8442.5</v>
      </c>
      <c r="F46" s="147"/>
    </row>
    <row r="47" spans="1:6" x14ac:dyDescent="0.25">
      <c r="A47" s="87">
        <v>1</v>
      </c>
      <c r="B47" s="68" t="s">
        <v>215</v>
      </c>
      <c r="C47" s="68" t="s">
        <v>96</v>
      </c>
      <c r="D47" s="68"/>
      <c r="E47" s="89">
        <v>12205</v>
      </c>
      <c r="F47" s="147"/>
    </row>
    <row r="48" spans="1:6" x14ac:dyDescent="0.25">
      <c r="A48" s="87">
        <v>1</v>
      </c>
      <c r="B48" s="68" t="s">
        <v>217</v>
      </c>
      <c r="C48" s="68" t="s">
        <v>98</v>
      </c>
      <c r="D48" s="68"/>
      <c r="E48" s="89">
        <v>12644</v>
      </c>
      <c r="F48" s="147"/>
    </row>
    <row r="49" spans="1:9" x14ac:dyDescent="0.25">
      <c r="A49" s="87">
        <v>1</v>
      </c>
      <c r="B49" s="68" t="s">
        <v>28</v>
      </c>
      <c r="C49" s="68" t="s">
        <v>29</v>
      </c>
      <c r="D49" s="68"/>
      <c r="E49" s="119">
        <v>33104</v>
      </c>
      <c r="F49" s="147"/>
    </row>
    <row r="50" spans="1:9" x14ac:dyDescent="0.25">
      <c r="A50" s="48"/>
      <c r="B50" s="48"/>
      <c r="C50" s="48"/>
      <c r="D50" s="82"/>
      <c r="E50" s="47"/>
      <c r="F50" s="147"/>
    </row>
    <row r="51" spans="1:9" x14ac:dyDescent="0.25">
      <c r="D51" s="7"/>
    </row>
    <row r="52" spans="1:9" x14ac:dyDescent="0.25">
      <c r="D52" s="7"/>
    </row>
    <row r="53" spans="1:9" x14ac:dyDescent="0.25">
      <c r="A53" s="150" t="s">
        <v>1</v>
      </c>
      <c r="B53" s="150" t="s">
        <v>2</v>
      </c>
      <c r="C53" s="150" t="s">
        <v>3</v>
      </c>
      <c r="D53" s="144" t="s">
        <v>4</v>
      </c>
      <c r="E53" s="144" t="s">
        <v>5</v>
      </c>
    </row>
    <row r="54" spans="1:9" s="1" customFormat="1" x14ac:dyDescent="0.25">
      <c r="A54" s="150"/>
      <c r="B54" s="150"/>
      <c r="C54" s="150"/>
      <c r="D54" s="144"/>
      <c r="E54" s="144"/>
      <c r="G54"/>
      <c r="H54"/>
      <c r="I54"/>
    </row>
    <row r="55" spans="1:9" s="1" customFormat="1" ht="20.65" customHeight="1" x14ac:dyDescent="0.25">
      <c r="A55" s="149" t="s">
        <v>150</v>
      </c>
      <c r="B55" s="149"/>
      <c r="C55" s="149"/>
      <c r="D55" s="149"/>
      <c r="E55" s="3"/>
      <c r="G55"/>
      <c r="H55"/>
      <c r="I55"/>
    </row>
    <row r="56" spans="1:9" ht="15" customHeight="1" x14ac:dyDescent="0.25">
      <c r="A56" s="50">
        <v>1</v>
      </c>
      <c r="B56" s="48" t="s">
        <v>38</v>
      </c>
      <c r="C56" s="49" t="s">
        <v>39</v>
      </c>
      <c r="D56" s="46"/>
      <c r="E56" s="86">
        <v>4595.5</v>
      </c>
      <c r="F56" s="148" t="s">
        <v>80</v>
      </c>
    </row>
    <row r="57" spans="1:9" x14ac:dyDescent="0.25">
      <c r="A57" s="34">
        <v>1</v>
      </c>
      <c r="B57" s="48" t="s">
        <v>34</v>
      </c>
      <c r="C57" s="49" t="s">
        <v>35</v>
      </c>
      <c r="D57" s="46"/>
      <c r="E57" s="85">
        <v>8906.5</v>
      </c>
      <c r="F57" s="148"/>
    </row>
    <row r="58" spans="1:9" ht="15" customHeight="1" x14ac:dyDescent="0.25">
      <c r="A58" s="34">
        <v>1</v>
      </c>
      <c r="B58" s="46" t="s">
        <v>32</v>
      </c>
      <c r="C58" s="46" t="s">
        <v>33</v>
      </c>
      <c r="D58" s="46"/>
      <c r="E58" s="84">
        <v>10470</v>
      </c>
      <c r="F58" s="148"/>
    </row>
    <row r="59" spans="1:9" x14ac:dyDescent="0.25">
      <c r="A59" s="50">
        <v>1</v>
      </c>
      <c r="B59" s="48" t="s">
        <v>36</v>
      </c>
      <c r="C59" s="49" t="s">
        <v>37</v>
      </c>
      <c r="D59" s="46"/>
      <c r="E59" s="85">
        <v>11218.5</v>
      </c>
      <c r="F59" s="148"/>
    </row>
    <row r="60" spans="1:9" s="1" customFormat="1" x14ac:dyDescent="0.25">
      <c r="A60" s="34">
        <v>1</v>
      </c>
      <c r="B60" s="48" t="s">
        <v>40</v>
      </c>
      <c r="C60" s="48" t="s">
        <v>41</v>
      </c>
      <c r="D60" s="46"/>
      <c r="E60" s="85">
        <v>24616</v>
      </c>
      <c r="F60" s="148"/>
      <c r="G60"/>
      <c r="H60"/>
      <c r="I60"/>
    </row>
    <row r="61" spans="1:9" x14ac:dyDescent="0.25">
      <c r="A61" s="71"/>
      <c r="B61" s="71"/>
      <c r="C61" s="71"/>
      <c r="D61" s="33"/>
      <c r="E61" s="33"/>
      <c r="F61" s="148"/>
    </row>
    <row r="62" spans="1:9" x14ac:dyDescent="0.25">
      <c r="D62" s="3"/>
    </row>
    <row r="63" spans="1:9" ht="15" customHeight="1" x14ac:dyDescent="0.25">
      <c r="A63" s="150" t="s">
        <v>1</v>
      </c>
      <c r="B63" s="150" t="s">
        <v>2</v>
      </c>
      <c r="C63" s="150" t="s">
        <v>3</v>
      </c>
      <c r="D63" s="144" t="s">
        <v>4</v>
      </c>
      <c r="E63" s="144" t="s">
        <v>5</v>
      </c>
    </row>
    <row r="64" spans="1:9" ht="15" customHeight="1" x14ac:dyDescent="0.25">
      <c r="A64" s="150"/>
      <c r="B64" s="150"/>
      <c r="C64" s="150"/>
      <c r="D64" s="144"/>
      <c r="E64" s="144"/>
    </row>
    <row r="65" spans="1:6" ht="15.75" customHeight="1" x14ac:dyDescent="0.25">
      <c r="A65" s="149" t="s">
        <v>222</v>
      </c>
      <c r="B65" s="149"/>
      <c r="C65" s="149"/>
      <c r="D65" s="149"/>
      <c r="E65" s="3"/>
      <c r="F65" s="146" t="s">
        <v>42</v>
      </c>
    </row>
    <row r="66" spans="1:6" x14ac:dyDescent="0.25">
      <c r="A66" s="46">
        <v>1</v>
      </c>
      <c r="B66" s="54" t="s">
        <v>43</v>
      </c>
      <c r="C66" s="49" t="s">
        <v>44</v>
      </c>
      <c r="D66" s="52"/>
      <c r="E66" s="73">
        <v>8480</v>
      </c>
      <c r="F66" s="146"/>
    </row>
    <row r="67" spans="1:6" x14ac:dyDescent="0.25">
      <c r="A67" s="46">
        <v>1</v>
      </c>
      <c r="B67" s="48" t="s">
        <v>45</v>
      </c>
      <c r="C67" s="49" t="s">
        <v>46</v>
      </c>
      <c r="D67" s="52"/>
      <c r="E67" s="73">
        <v>13028</v>
      </c>
      <c r="F67" s="146"/>
    </row>
    <row r="68" spans="1:6" x14ac:dyDescent="0.25">
      <c r="A68" s="46">
        <v>1</v>
      </c>
      <c r="B68" s="48" t="s">
        <v>47</v>
      </c>
      <c r="C68" s="49" t="s">
        <v>48</v>
      </c>
      <c r="D68" s="52"/>
      <c r="E68" s="73">
        <v>14070.5</v>
      </c>
      <c r="F68" s="146"/>
    </row>
    <row r="69" spans="1:6" x14ac:dyDescent="0.25">
      <c r="A69" s="46">
        <v>1</v>
      </c>
      <c r="B69" s="48" t="s">
        <v>49</v>
      </c>
      <c r="C69" s="49" t="s">
        <v>50</v>
      </c>
      <c r="D69" s="52"/>
      <c r="E69" s="73">
        <v>23773</v>
      </c>
      <c r="F69" s="146"/>
    </row>
    <row r="71" spans="1:6" ht="15.95" customHeight="1" x14ac:dyDescent="0.25">
      <c r="A71" s="150" t="s">
        <v>1</v>
      </c>
      <c r="B71" s="150" t="s">
        <v>2</v>
      </c>
      <c r="C71" s="150" t="s">
        <v>3</v>
      </c>
      <c r="D71" s="144" t="s">
        <v>4</v>
      </c>
      <c r="E71" s="144" t="s">
        <v>5</v>
      </c>
    </row>
    <row r="72" spans="1:6" ht="15.95" customHeight="1" x14ac:dyDescent="0.25">
      <c r="A72" s="150"/>
      <c r="B72" s="150"/>
      <c r="C72" s="150"/>
      <c r="D72" s="144"/>
      <c r="E72" s="144"/>
      <c r="F72" s="146" t="s">
        <v>51</v>
      </c>
    </row>
    <row r="73" spans="1:6" ht="15.75" x14ac:dyDescent="0.25">
      <c r="A73" s="149" t="s">
        <v>52</v>
      </c>
      <c r="B73" s="149"/>
      <c r="C73" s="149"/>
      <c r="D73" s="149"/>
      <c r="E73" s="3"/>
      <c r="F73" s="146"/>
    </row>
    <row r="74" spans="1:6" x14ac:dyDescent="0.25">
      <c r="A74" s="11">
        <v>1</v>
      </c>
      <c r="B74" s="11" t="s">
        <v>81</v>
      </c>
      <c r="C74" s="11" t="s">
        <v>82</v>
      </c>
      <c r="D74" s="11" t="s">
        <v>55</v>
      </c>
      <c r="E74" s="14">
        <v>1232</v>
      </c>
      <c r="F74" s="146"/>
    </row>
    <row r="75" spans="1:6" x14ac:dyDescent="0.25">
      <c r="A75" s="11">
        <v>1</v>
      </c>
      <c r="B75" s="11" t="s">
        <v>83</v>
      </c>
      <c r="C75" s="11" t="s">
        <v>57</v>
      </c>
      <c r="D75" s="11" t="s">
        <v>58</v>
      </c>
      <c r="E75" s="14">
        <v>720</v>
      </c>
      <c r="F75" s="146"/>
    </row>
    <row r="76" spans="1:6" x14ac:dyDescent="0.25">
      <c r="D76"/>
      <c r="E76"/>
    </row>
    <row r="77" spans="1:6" ht="18" x14ac:dyDescent="0.25">
      <c r="A77" s="4"/>
      <c r="C77" s="106" t="s">
        <v>54</v>
      </c>
      <c r="D77"/>
      <c r="E77"/>
      <c r="F77" s="4"/>
    </row>
    <row r="78" spans="1:6" x14ac:dyDescent="0.25">
      <c r="D78"/>
      <c r="E78"/>
    </row>
    <row r="79" spans="1:6" x14ac:dyDescent="0.25">
      <c r="D79"/>
      <c r="E79"/>
    </row>
    <row r="80" spans="1:6" s="1" customFormat="1" ht="20.65" customHeight="1" x14ac:dyDescent="0.25">
      <c r="A80"/>
      <c r="B80"/>
      <c r="C80"/>
      <c r="D80"/>
      <c r="E80"/>
      <c r="F80"/>
    </row>
    <row r="81" spans="1:6" x14ac:dyDescent="0.25">
      <c r="D81"/>
      <c r="E81"/>
    </row>
    <row r="82" spans="1:6" x14ac:dyDescent="0.25">
      <c r="D82"/>
      <c r="E82"/>
    </row>
    <row r="83" spans="1:6" x14ac:dyDescent="0.25">
      <c r="D83"/>
      <c r="E83"/>
    </row>
    <row r="84" spans="1:6" x14ac:dyDescent="0.25">
      <c r="D84"/>
      <c r="E84"/>
    </row>
    <row r="85" spans="1:6" x14ac:dyDescent="0.25">
      <c r="D85"/>
      <c r="E85"/>
    </row>
    <row r="86" spans="1:6" x14ac:dyDescent="0.25">
      <c r="D86"/>
      <c r="E86"/>
    </row>
    <row r="87" spans="1:6" x14ac:dyDescent="0.25">
      <c r="D87"/>
      <c r="E87"/>
    </row>
    <row r="88" spans="1:6" x14ac:dyDescent="0.25">
      <c r="C88" s="106" t="s">
        <v>59</v>
      </c>
      <c r="D88"/>
      <c r="E88"/>
    </row>
    <row r="89" spans="1:6" x14ac:dyDescent="0.25">
      <c r="D89"/>
      <c r="E89"/>
    </row>
    <row r="90" spans="1:6" s="1" customFormat="1" ht="20.65" customHeight="1" x14ac:dyDescent="0.25">
      <c r="A90"/>
      <c r="B90"/>
      <c r="C90"/>
      <c r="D90"/>
      <c r="E90"/>
      <c r="F90"/>
    </row>
    <row r="91" spans="1:6" x14ac:dyDescent="0.25">
      <c r="D91"/>
      <c r="E91"/>
    </row>
    <row r="92" spans="1:6" x14ac:dyDescent="0.25">
      <c r="D92"/>
      <c r="E92"/>
    </row>
    <row r="93" spans="1:6" x14ac:dyDescent="0.25">
      <c r="D93"/>
      <c r="E93"/>
    </row>
    <row r="94" spans="1:6" x14ac:dyDescent="0.25">
      <c r="D94"/>
      <c r="E94"/>
    </row>
    <row r="95" spans="1:6" s="4" customFormat="1" ht="18" x14ac:dyDescent="0.25">
      <c r="A95"/>
      <c r="B95"/>
      <c r="C95"/>
      <c r="D95"/>
      <c r="E95"/>
      <c r="F95"/>
    </row>
    <row r="96" spans="1:6" x14ac:dyDescent="0.25">
      <c r="D96"/>
      <c r="E96"/>
    </row>
    <row r="97" spans="4:5" x14ac:dyDescent="0.25">
      <c r="D97"/>
      <c r="E97"/>
    </row>
    <row r="98" spans="4:5" x14ac:dyDescent="0.25">
      <c r="D98"/>
      <c r="E98"/>
    </row>
    <row r="99" spans="4:5" x14ac:dyDescent="0.25">
      <c r="D99"/>
      <c r="E99"/>
    </row>
    <row r="100" spans="4:5" x14ac:dyDescent="0.25">
      <c r="D100"/>
      <c r="E100"/>
    </row>
    <row r="101" spans="4:5" x14ac:dyDescent="0.25">
      <c r="D101"/>
      <c r="E101"/>
    </row>
    <row r="102" spans="4:5" x14ac:dyDescent="0.25">
      <c r="D102"/>
      <c r="E102"/>
    </row>
    <row r="103" spans="4:5" x14ac:dyDescent="0.25">
      <c r="D103"/>
      <c r="E103"/>
    </row>
  </sheetData>
  <mergeCells count="50">
    <mergeCell ref="F36:F38"/>
    <mergeCell ref="F65:F69"/>
    <mergeCell ref="F43:F50"/>
    <mergeCell ref="A71:A72"/>
    <mergeCell ref="B71:B72"/>
    <mergeCell ref="C71:C72"/>
    <mergeCell ref="D71:D72"/>
    <mergeCell ref="F72:F75"/>
    <mergeCell ref="A73:D73"/>
    <mergeCell ref="E71:E72"/>
    <mergeCell ref="A63:A64"/>
    <mergeCell ref="B63:B64"/>
    <mergeCell ref="C63:C64"/>
    <mergeCell ref="D63:D64"/>
    <mergeCell ref="A65:D65"/>
    <mergeCell ref="A53:A54"/>
    <mergeCell ref="C53:C54"/>
    <mergeCell ref="D53:D54"/>
    <mergeCell ref="A55:D55"/>
    <mergeCell ref="A41:A42"/>
    <mergeCell ref="B41:B42"/>
    <mergeCell ref="C41:C42"/>
    <mergeCell ref="D41:D42"/>
    <mergeCell ref="A43:D43"/>
    <mergeCell ref="A20:A21"/>
    <mergeCell ref="B20:B21"/>
    <mergeCell ref="C20:C21"/>
    <mergeCell ref="D20:D21"/>
    <mergeCell ref="A13:A14"/>
    <mergeCell ref="A15:D15"/>
    <mergeCell ref="A17:B17"/>
    <mergeCell ref="B13:B14"/>
    <mergeCell ref="C13:C14"/>
    <mergeCell ref="D13:D14"/>
    <mergeCell ref="B9:D11"/>
    <mergeCell ref="F56:F61"/>
    <mergeCell ref="E20:E21"/>
    <mergeCell ref="E13:E14"/>
    <mergeCell ref="E63:E64"/>
    <mergeCell ref="E53:E54"/>
    <mergeCell ref="E41:E42"/>
    <mergeCell ref="E32:E33"/>
    <mergeCell ref="F16:F17"/>
    <mergeCell ref="A22:D22"/>
    <mergeCell ref="A32:A33"/>
    <mergeCell ref="B32:B33"/>
    <mergeCell ref="C32:C33"/>
    <mergeCell ref="D32:D33"/>
    <mergeCell ref="A34:D34"/>
    <mergeCell ref="B53:B5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CC293-10D4-44B3-BA9B-1A33875947F3}">
  <sheetPr>
    <tabColor theme="4" tint="0.79998168889431442"/>
  </sheetPr>
  <dimension ref="A7:G101"/>
  <sheetViews>
    <sheetView topLeftCell="A23" zoomScaleNormal="100" workbookViewId="0">
      <selection activeCell="E47" sqref="E47"/>
    </sheetView>
  </sheetViews>
  <sheetFormatPr defaultRowHeight="15" x14ac:dyDescent="0.25"/>
  <cols>
    <col min="2" max="2" width="22.85546875" customWidth="1"/>
    <col min="3" max="3" width="92.28515625" customWidth="1"/>
    <col min="4" max="4" width="16.140625" style="2" hidden="1" customWidth="1"/>
    <col min="5" max="5" width="16.42578125" customWidth="1"/>
    <col min="6" max="6" width="50.42578125" customWidth="1"/>
    <col min="7" max="7" width="18.7109375" customWidth="1"/>
  </cols>
  <sheetData>
    <row r="7" spans="1:7" ht="14.45" customHeight="1" x14ac:dyDescent="0.25">
      <c r="B7" s="159" t="s">
        <v>84</v>
      </c>
      <c r="C7" s="160"/>
      <c r="D7" s="161"/>
    </row>
    <row r="8" spans="1:7" ht="15" customHeight="1" x14ac:dyDescent="0.25">
      <c r="B8" s="162"/>
      <c r="C8" s="153"/>
      <c r="D8" s="163"/>
      <c r="E8" s="24"/>
    </row>
    <row r="9" spans="1:7" ht="34.5" customHeight="1" x14ac:dyDescent="0.25">
      <c r="B9" s="162"/>
      <c r="C9" s="153"/>
      <c r="D9" s="163"/>
      <c r="E9" s="24"/>
    </row>
    <row r="10" spans="1:7" ht="14.45" customHeight="1" x14ac:dyDescent="0.25">
      <c r="B10" s="164"/>
      <c r="C10" s="165"/>
      <c r="D10" s="166"/>
      <c r="F10" s="6">
        <v>0.4</v>
      </c>
    </row>
    <row r="12" spans="1:7" ht="15" customHeight="1" x14ac:dyDescent="0.25">
      <c r="A12" s="150" t="s">
        <v>1</v>
      </c>
      <c r="B12" s="150" t="s">
        <v>2</v>
      </c>
      <c r="C12" s="150" t="s">
        <v>3</v>
      </c>
      <c r="D12" s="144" t="s">
        <v>4</v>
      </c>
      <c r="E12" s="144" t="s">
        <v>5</v>
      </c>
    </row>
    <row r="13" spans="1:7" ht="15" customHeight="1" x14ac:dyDescent="0.25">
      <c r="A13" s="150"/>
      <c r="B13" s="150"/>
      <c r="C13" s="150"/>
      <c r="D13" s="144"/>
      <c r="E13" s="144"/>
    </row>
    <row r="14" spans="1:7" ht="15" customHeight="1" x14ac:dyDescent="0.25">
      <c r="A14" s="154" t="s">
        <v>85</v>
      </c>
      <c r="B14" s="154"/>
      <c r="C14" s="154"/>
      <c r="D14" s="154"/>
      <c r="E14" s="26"/>
      <c r="F14" s="156" t="s">
        <v>254</v>
      </c>
    </row>
    <row r="15" spans="1:7" ht="53.25" customHeight="1" x14ac:dyDescent="0.25">
      <c r="A15" s="17">
        <v>1</v>
      </c>
      <c r="B15" s="17" t="s">
        <v>86</v>
      </c>
      <c r="C15" s="17" t="s">
        <v>252</v>
      </c>
      <c r="D15" s="18"/>
      <c r="E15" s="14"/>
      <c r="F15" s="156"/>
      <c r="G15" s="156"/>
    </row>
    <row r="16" spans="1:7" x14ac:dyDescent="0.25">
      <c r="A16" s="167" t="s">
        <v>62</v>
      </c>
      <c r="B16" s="168"/>
      <c r="C16" s="17"/>
      <c r="D16" s="18"/>
      <c r="E16" s="14">
        <v>95000</v>
      </c>
      <c r="F16" s="156"/>
      <c r="G16" s="156"/>
    </row>
    <row r="17" spans="1:6" x14ac:dyDescent="0.25">
      <c r="D17" s="8"/>
      <c r="E17" s="2"/>
    </row>
    <row r="18" spans="1:6" x14ac:dyDescent="0.25">
      <c r="A18" s="150" t="s">
        <v>1</v>
      </c>
      <c r="B18" s="150" t="s">
        <v>2</v>
      </c>
      <c r="C18" s="150" t="s">
        <v>3</v>
      </c>
      <c r="D18" s="144" t="s">
        <v>4</v>
      </c>
      <c r="E18" s="144" t="s">
        <v>5</v>
      </c>
    </row>
    <row r="19" spans="1:6" x14ac:dyDescent="0.25">
      <c r="A19" s="150"/>
      <c r="B19" s="150"/>
      <c r="C19" s="150"/>
      <c r="D19" s="144"/>
      <c r="E19" s="144"/>
    </row>
    <row r="20" spans="1:6" ht="15.75" x14ac:dyDescent="0.25">
      <c r="A20" s="149" t="s">
        <v>87</v>
      </c>
      <c r="B20" s="149"/>
      <c r="C20" s="149"/>
      <c r="D20" s="149"/>
      <c r="E20" s="3"/>
    </row>
    <row r="21" spans="1:6" ht="15" customHeight="1" x14ac:dyDescent="0.25">
      <c r="A21" s="115">
        <v>1</v>
      </c>
      <c r="B21" s="44" t="s">
        <v>213</v>
      </c>
      <c r="C21" s="44" t="s">
        <v>163</v>
      </c>
      <c r="D21" s="44"/>
      <c r="E21" s="116" t="s">
        <v>245</v>
      </c>
      <c r="F21" s="30"/>
    </row>
    <row r="22" spans="1:6" x14ac:dyDescent="0.25">
      <c r="A22" s="115">
        <v>1</v>
      </c>
      <c r="B22" s="44" t="s">
        <v>12</v>
      </c>
      <c r="C22" s="44" t="s">
        <v>13</v>
      </c>
      <c r="D22" s="44"/>
      <c r="E22" s="116" t="s">
        <v>246</v>
      </c>
    </row>
    <row r="23" spans="1:6" x14ac:dyDescent="0.25">
      <c r="A23" s="115">
        <v>1</v>
      </c>
      <c r="B23" s="44" t="s">
        <v>16</v>
      </c>
      <c r="C23" s="44" t="s">
        <v>17</v>
      </c>
      <c r="D23" s="44"/>
      <c r="E23" s="116" t="s">
        <v>247</v>
      </c>
      <c r="F23" s="31"/>
    </row>
    <row r="24" spans="1:6" x14ac:dyDescent="0.25">
      <c r="A24" s="115">
        <v>1</v>
      </c>
      <c r="B24" s="44" t="s">
        <v>18</v>
      </c>
      <c r="C24" s="44" t="s">
        <v>19</v>
      </c>
      <c r="D24" s="44"/>
      <c r="E24" s="116" t="s">
        <v>248</v>
      </c>
      <c r="F24" s="30"/>
    </row>
    <row r="25" spans="1:6" x14ac:dyDescent="0.25">
      <c r="A25" s="115">
        <v>1</v>
      </c>
      <c r="B25" s="44" t="s">
        <v>20</v>
      </c>
      <c r="C25" s="44" t="s">
        <v>21</v>
      </c>
      <c r="D25" s="44"/>
      <c r="E25" s="116" t="s">
        <v>249</v>
      </c>
      <c r="F25" s="31"/>
    </row>
    <row r="26" spans="1:6" x14ac:dyDescent="0.25">
      <c r="A26" s="115">
        <v>1</v>
      </c>
      <c r="B26" s="44" t="s">
        <v>14</v>
      </c>
      <c r="C26" s="44" t="s">
        <v>15</v>
      </c>
      <c r="D26" s="44"/>
      <c r="E26" s="116" t="s">
        <v>250</v>
      </c>
      <c r="F26" s="31"/>
    </row>
    <row r="27" spans="1:6" x14ac:dyDescent="0.25">
      <c r="A27" s="33"/>
      <c r="B27" s="64"/>
      <c r="C27" s="64"/>
      <c r="D27" s="63"/>
      <c r="E27" s="69"/>
    </row>
    <row r="28" spans="1:6" x14ac:dyDescent="0.25">
      <c r="D28" s="8"/>
      <c r="E28" s="2"/>
    </row>
    <row r="29" spans="1:6" x14ac:dyDescent="0.25">
      <c r="A29" s="150" t="s">
        <v>1</v>
      </c>
      <c r="B29" s="150" t="s">
        <v>2</v>
      </c>
      <c r="C29" s="150" t="s">
        <v>3</v>
      </c>
      <c r="D29" s="144" t="s">
        <v>4</v>
      </c>
      <c r="E29" s="144" t="s">
        <v>5</v>
      </c>
    </row>
    <row r="30" spans="1:6" x14ac:dyDescent="0.25">
      <c r="A30" s="150"/>
      <c r="B30" s="150"/>
      <c r="C30" s="150"/>
      <c r="D30" s="144"/>
      <c r="E30" s="144"/>
    </row>
    <row r="31" spans="1:6" ht="15.75" x14ac:dyDescent="0.25">
      <c r="A31" s="149" t="s">
        <v>88</v>
      </c>
      <c r="B31" s="149"/>
      <c r="C31" s="149"/>
      <c r="D31" s="149"/>
      <c r="E31" s="3"/>
    </row>
    <row r="32" spans="1:6" ht="15.75" x14ac:dyDescent="0.25">
      <c r="A32" s="11">
        <v>1</v>
      </c>
      <c r="B32" s="11" t="s">
        <v>256</v>
      </c>
      <c r="C32" s="11" t="s">
        <v>257</v>
      </c>
      <c r="D32" s="25"/>
      <c r="E32" s="118">
        <v>28194</v>
      </c>
    </row>
    <row r="33" spans="1:6" x14ac:dyDescent="0.25">
      <c r="A33" s="46">
        <v>1</v>
      </c>
      <c r="B33" s="46" t="s">
        <v>89</v>
      </c>
      <c r="C33" s="46" t="s">
        <v>77</v>
      </c>
      <c r="D33" s="46"/>
      <c r="E33" s="98">
        <v>52715.399999999994</v>
      </c>
      <c r="F33" s="146" t="s">
        <v>90</v>
      </c>
    </row>
    <row r="34" spans="1:6" x14ac:dyDescent="0.25">
      <c r="A34" s="46">
        <v>1</v>
      </c>
      <c r="B34" s="46" t="s">
        <v>91</v>
      </c>
      <c r="C34" s="46" t="s">
        <v>92</v>
      </c>
      <c r="D34" s="46"/>
      <c r="E34" s="98">
        <v>178343.19999999995</v>
      </c>
      <c r="F34" s="146"/>
    </row>
    <row r="35" spans="1:6" x14ac:dyDescent="0.25">
      <c r="A35" s="46">
        <v>1</v>
      </c>
      <c r="B35" s="48" t="s">
        <v>93</v>
      </c>
      <c r="C35" s="49" t="s">
        <v>24</v>
      </c>
      <c r="D35" s="46"/>
      <c r="E35" s="98">
        <v>104645.19999999995</v>
      </c>
    </row>
    <row r="36" spans="1:6" x14ac:dyDescent="0.25">
      <c r="A36" s="46"/>
      <c r="B36" s="48"/>
      <c r="C36" s="49"/>
      <c r="D36" s="46"/>
      <c r="E36" s="70"/>
    </row>
    <row r="37" spans="1:6" x14ac:dyDescent="0.25">
      <c r="D37"/>
    </row>
    <row r="38" spans="1:6" x14ac:dyDescent="0.25">
      <c r="D38" s="8"/>
      <c r="E38" s="2"/>
    </row>
    <row r="39" spans="1:6" x14ac:dyDescent="0.25">
      <c r="A39" s="150" t="s">
        <v>1</v>
      </c>
      <c r="B39" s="150" t="s">
        <v>2</v>
      </c>
      <c r="C39" s="150" t="s">
        <v>3</v>
      </c>
      <c r="D39" s="144" t="s">
        <v>4</v>
      </c>
      <c r="E39" s="144" t="s">
        <v>5</v>
      </c>
    </row>
    <row r="40" spans="1:6" x14ac:dyDescent="0.25">
      <c r="A40" s="150"/>
      <c r="B40" s="150"/>
      <c r="C40" s="150"/>
      <c r="D40" s="144"/>
      <c r="E40" s="144"/>
    </row>
    <row r="41" spans="1:6" ht="15.75" x14ac:dyDescent="0.25">
      <c r="A41" s="149" t="s">
        <v>224</v>
      </c>
      <c r="B41" s="149"/>
      <c r="C41" s="149"/>
      <c r="D41" s="149"/>
      <c r="E41" s="3"/>
      <c r="F41" s="147" t="s">
        <v>27</v>
      </c>
    </row>
    <row r="42" spans="1:6" x14ac:dyDescent="0.25">
      <c r="A42" s="87">
        <v>1</v>
      </c>
      <c r="B42" s="68" t="s">
        <v>119</v>
      </c>
      <c r="C42" s="68" t="s">
        <v>120</v>
      </c>
      <c r="D42" s="68"/>
      <c r="E42" s="89">
        <v>6198</v>
      </c>
      <c r="F42" s="147"/>
    </row>
    <row r="43" spans="1:6" x14ac:dyDescent="0.25">
      <c r="A43" s="87">
        <v>1</v>
      </c>
      <c r="B43" s="68" t="s">
        <v>121</v>
      </c>
      <c r="C43" s="68" t="s">
        <v>122</v>
      </c>
      <c r="D43" s="68"/>
      <c r="E43" s="89">
        <v>6781.5</v>
      </c>
      <c r="F43" s="147"/>
    </row>
    <row r="44" spans="1:6" ht="15" customHeight="1" x14ac:dyDescent="0.25">
      <c r="A44" s="87">
        <v>1</v>
      </c>
      <c r="B44" s="68" t="s">
        <v>216</v>
      </c>
      <c r="C44" s="68" t="s">
        <v>95</v>
      </c>
      <c r="D44" s="68"/>
      <c r="E44" s="89">
        <v>8442.5</v>
      </c>
      <c r="F44" s="147"/>
    </row>
    <row r="45" spans="1:6" x14ac:dyDescent="0.25">
      <c r="A45" s="87">
        <v>1</v>
      </c>
      <c r="B45" s="68" t="s">
        <v>215</v>
      </c>
      <c r="C45" s="68" t="s">
        <v>96</v>
      </c>
      <c r="D45" s="68"/>
      <c r="E45" s="89">
        <v>12205</v>
      </c>
      <c r="F45" s="147"/>
    </row>
    <row r="46" spans="1:6" x14ac:dyDescent="0.25">
      <c r="A46" s="87">
        <v>1</v>
      </c>
      <c r="B46" s="68" t="s">
        <v>217</v>
      </c>
      <c r="C46" s="68" t="s">
        <v>98</v>
      </c>
      <c r="D46" s="68"/>
      <c r="E46" s="89">
        <v>12644</v>
      </c>
      <c r="F46" s="147"/>
    </row>
    <row r="47" spans="1:6" x14ac:dyDescent="0.25">
      <c r="A47" s="87">
        <v>1</v>
      </c>
      <c r="B47" s="68" t="s">
        <v>28</v>
      </c>
      <c r="C47" s="68" t="s">
        <v>29</v>
      </c>
      <c r="D47" s="68"/>
      <c r="E47" s="119">
        <v>33104</v>
      </c>
      <c r="F47" s="147"/>
    </row>
    <row r="48" spans="1:6" x14ac:dyDescent="0.25">
      <c r="A48" s="48"/>
      <c r="B48" s="48"/>
      <c r="C48" s="48"/>
      <c r="D48" s="82"/>
      <c r="E48" s="47"/>
      <c r="F48" s="147"/>
    </row>
    <row r="49" spans="1:6" x14ac:dyDescent="0.25">
      <c r="D49" s="8"/>
    </row>
    <row r="50" spans="1:6" ht="15.75" x14ac:dyDescent="0.25">
      <c r="A50" s="150" t="s">
        <v>1</v>
      </c>
      <c r="B50" s="150" t="s">
        <v>2</v>
      </c>
      <c r="C50" s="150" t="s">
        <v>3</v>
      </c>
      <c r="D50" s="144" t="s">
        <v>4</v>
      </c>
      <c r="E50" s="51"/>
    </row>
    <row r="51" spans="1:6" ht="15.75" x14ac:dyDescent="0.25">
      <c r="A51" s="150"/>
      <c r="B51" s="150"/>
      <c r="C51" s="150"/>
      <c r="D51" s="144"/>
      <c r="E51" s="51"/>
    </row>
    <row r="52" spans="1:6" ht="15.75" x14ac:dyDescent="0.25">
      <c r="A52" s="149" t="s">
        <v>99</v>
      </c>
      <c r="B52" s="149"/>
      <c r="C52" s="149"/>
      <c r="D52" s="149"/>
      <c r="E52" s="65"/>
      <c r="F52" s="169" t="s">
        <v>80</v>
      </c>
    </row>
    <row r="53" spans="1:6" x14ac:dyDescent="0.25">
      <c r="A53" s="50">
        <v>1</v>
      </c>
      <c r="B53" s="48" t="s">
        <v>38</v>
      </c>
      <c r="C53" s="49" t="s">
        <v>39</v>
      </c>
      <c r="D53" s="46"/>
      <c r="E53" s="86">
        <v>4595.5</v>
      </c>
      <c r="F53" s="147"/>
    </row>
    <row r="54" spans="1:6" x14ac:dyDescent="0.25">
      <c r="A54" s="34">
        <v>1</v>
      </c>
      <c r="B54" s="48" t="s">
        <v>34</v>
      </c>
      <c r="C54" s="49" t="s">
        <v>35</v>
      </c>
      <c r="D54" s="46"/>
      <c r="E54" s="85">
        <v>8906.5</v>
      </c>
      <c r="F54" s="147"/>
    </row>
    <row r="55" spans="1:6" x14ac:dyDescent="0.25">
      <c r="A55" s="34">
        <v>1</v>
      </c>
      <c r="B55" s="46" t="s">
        <v>32</v>
      </c>
      <c r="C55" s="46" t="s">
        <v>33</v>
      </c>
      <c r="D55" s="46"/>
      <c r="E55" s="84">
        <v>10470</v>
      </c>
      <c r="F55" s="147"/>
    </row>
    <row r="56" spans="1:6" x14ac:dyDescent="0.25">
      <c r="A56" s="50">
        <v>1</v>
      </c>
      <c r="B56" s="48" t="s">
        <v>36</v>
      </c>
      <c r="C56" s="49" t="s">
        <v>37</v>
      </c>
      <c r="D56" s="46"/>
      <c r="E56" s="85">
        <v>11218.5</v>
      </c>
      <c r="F56" s="147"/>
    </row>
    <row r="57" spans="1:6" x14ac:dyDescent="0.25">
      <c r="A57" s="34">
        <v>1</v>
      </c>
      <c r="B57" s="48" t="s">
        <v>40</v>
      </c>
      <c r="C57" s="48" t="s">
        <v>41</v>
      </c>
      <c r="D57" s="46"/>
      <c r="E57" s="85">
        <v>24616</v>
      </c>
      <c r="F57" s="147"/>
    </row>
    <row r="58" spans="1:6" ht="15" customHeight="1" x14ac:dyDescent="0.25">
      <c r="A58" s="71"/>
      <c r="B58" s="71"/>
      <c r="C58" s="71"/>
      <c r="D58" s="33"/>
      <c r="E58" s="33"/>
      <c r="F58" s="147"/>
    </row>
    <row r="59" spans="1:6" x14ac:dyDescent="0.25">
      <c r="D59"/>
    </row>
    <row r="60" spans="1:6" x14ac:dyDescent="0.25">
      <c r="D60" s="8"/>
      <c r="E60" s="2"/>
    </row>
    <row r="61" spans="1:6" x14ac:dyDescent="0.25">
      <c r="A61" s="150" t="s">
        <v>1</v>
      </c>
      <c r="B61" s="150" t="s">
        <v>2</v>
      </c>
      <c r="C61" s="150" t="s">
        <v>3</v>
      </c>
      <c r="D61" s="144" t="s">
        <v>4</v>
      </c>
      <c r="E61" s="144" t="s">
        <v>5</v>
      </c>
    </row>
    <row r="62" spans="1:6" x14ac:dyDescent="0.25">
      <c r="A62" s="150"/>
      <c r="B62" s="150"/>
      <c r="C62" s="150"/>
      <c r="D62" s="144"/>
      <c r="E62" s="144"/>
    </row>
    <row r="63" spans="1:6" ht="15.75" x14ac:dyDescent="0.25">
      <c r="A63" s="149" t="s">
        <v>225</v>
      </c>
      <c r="B63" s="149"/>
      <c r="C63" s="149"/>
      <c r="D63" s="149"/>
      <c r="E63" s="3"/>
      <c r="F63" s="147" t="s">
        <v>42</v>
      </c>
    </row>
    <row r="64" spans="1:6" ht="15" customHeight="1" x14ac:dyDescent="0.25">
      <c r="A64" s="46">
        <v>1</v>
      </c>
      <c r="B64" s="54" t="s">
        <v>43</v>
      </c>
      <c r="C64" s="49" t="s">
        <v>44</v>
      </c>
      <c r="D64" s="52"/>
      <c r="E64" s="73">
        <v>8480</v>
      </c>
      <c r="F64" s="147"/>
    </row>
    <row r="65" spans="1:6" x14ac:dyDescent="0.25">
      <c r="A65" s="46">
        <v>1</v>
      </c>
      <c r="B65" s="48" t="s">
        <v>45</v>
      </c>
      <c r="C65" s="49" t="s">
        <v>46</v>
      </c>
      <c r="D65" s="52"/>
      <c r="E65" s="73">
        <v>13028</v>
      </c>
      <c r="F65" s="147"/>
    </row>
    <row r="66" spans="1:6" x14ac:dyDescent="0.25">
      <c r="A66" s="46">
        <v>1</v>
      </c>
      <c r="B66" s="48" t="s">
        <v>47</v>
      </c>
      <c r="C66" s="49" t="s">
        <v>48</v>
      </c>
      <c r="D66" s="52"/>
      <c r="E66" s="73">
        <v>14070.5</v>
      </c>
      <c r="F66" s="147"/>
    </row>
    <row r="67" spans="1:6" x14ac:dyDescent="0.25">
      <c r="A67" s="46">
        <v>1</v>
      </c>
      <c r="B67" s="48" t="s">
        <v>49</v>
      </c>
      <c r="C67" s="49" t="s">
        <v>50</v>
      </c>
      <c r="D67" s="52"/>
      <c r="E67" s="73">
        <v>23773</v>
      </c>
      <c r="F67" s="147"/>
    </row>
    <row r="69" spans="1:6" ht="15.95" customHeight="1" x14ac:dyDescent="0.25">
      <c r="A69" s="150" t="s">
        <v>1</v>
      </c>
      <c r="B69" s="150" t="s">
        <v>2</v>
      </c>
      <c r="C69" s="150" t="s">
        <v>3</v>
      </c>
      <c r="D69" s="144" t="s">
        <v>4</v>
      </c>
      <c r="E69" s="144" t="s">
        <v>5</v>
      </c>
    </row>
    <row r="70" spans="1:6" ht="15.95" customHeight="1" x14ac:dyDescent="0.25">
      <c r="A70" s="150"/>
      <c r="B70" s="150"/>
      <c r="C70" s="150"/>
      <c r="D70" s="144"/>
      <c r="E70" s="144"/>
      <c r="F70" s="146" t="s">
        <v>51</v>
      </c>
    </row>
    <row r="71" spans="1:6" ht="15.75" x14ac:dyDescent="0.25">
      <c r="A71" s="149" t="s">
        <v>52</v>
      </c>
      <c r="B71" s="149"/>
      <c r="C71" s="149"/>
      <c r="D71" s="149"/>
      <c r="E71" s="3"/>
      <c r="F71" s="146"/>
    </row>
    <row r="72" spans="1:6" x14ac:dyDescent="0.25">
      <c r="A72" s="11">
        <v>1</v>
      </c>
      <c r="B72" s="11" t="s">
        <v>106</v>
      </c>
      <c r="C72" s="11" t="s">
        <v>54</v>
      </c>
      <c r="D72" s="11" t="s">
        <v>55</v>
      </c>
      <c r="E72" s="14">
        <v>1232</v>
      </c>
      <c r="F72" s="146"/>
    </row>
    <row r="73" spans="1:6" x14ac:dyDescent="0.25">
      <c r="A73" s="11">
        <v>1</v>
      </c>
      <c r="B73" s="11" t="s">
        <v>107</v>
      </c>
      <c r="C73" s="11" t="s">
        <v>59</v>
      </c>
      <c r="D73" s="11" t="s">
        <v>58</v>
      </c>
      <c r="E73" s="14">
        <v>720</v>
      </c>
      <c r="F73" s="146"/>
    </row>
    <row r="74" spans="1:6" x14ac:dyDescent="0.25">
      <c r="D74"/>
    </row>
    <row r="75" spans="1:6" ht="18" x14ac:dyDescent="0.25">
      <c r="A75" s="4"/>
      <c r="C75" s="106" t="s">
        <v>54</v>
      </c>
      <c r="D75"/>
      <c r="F75" s="4"/>
    </row>
    <row r="76" spans="1:6" x14ac:dyDescent="0.25">
      <c r="D76"/>
    </row>
    <row r="77" spans="1:6" x14ac:dyDescent="0.25">
      <c r="D77"/>
    </row>
    <row r="78" spans="1:6" x14ac:dyDescent="0.25">
      <c r="D78"/>
    </row>
    <row r="79" spans="1:6" x14ac:dyDescent="0.25">
      <c r="D79"/>
    </row>
    <row r="80" spans="1:6" x14ac:dyDescent="0.25">
      <c r="D80"/>
    </row>
    <row r="81" spans="3:4" x14ac:dyDescent="0.25">
      <c r="D81"/>
    </row>
    <row r="82" spans="3:4" x14ac:dyDescent="0.25">
      <c r="D82"/>
    </row>
    <row r="83" spans="3:4" x14ac:dyDescent="0.25">
      <c r="D83"/>
    </row>
    <row r="84" spans="3:4" x14ac:dyDescent="0.25">
      <c r="D84"/>
    </row>
    <row r="85" spans="3:4" x14ac:dyDescent="0.25">
      <c r="D85"/>
    </row>
    <row r="86" spans="3:4" x14ac:dyDescent="0.25">
      <c r="C86" s="106" t="s">
        <v>59</v>
      </c>
      <c r="D86"/>
    </row>
    <row r="87" spans="3:4" x14ac:dyDescent="0.25">
      <c r="D87"/>
    </row>
    <row r="88" spans="3:4" x14ac:dyDescent="0.25">
      <c r="D88"/>
    </row>
    <row r="89" spans="3:4" x14ac:dyDescent="0.25">
      <c r="D89"/>
    </row>
    <row r="90" spans="3:4" x14ac:dyDescent="0.25">
      <c r="D90"/>
    </row>
    <row r="91" spans="3:4" x14ac:dyDescent="0.25">
      <c r="D91"/>
    </row>
    <row r="92" spans="3:4" x14ac:dyDescent="0.25">
      <c r="D92"/>
    </row>
    <row r="93" spans="3:4" x14ac:dyDescent="0.25">
      <c r="D93"/>
    </row>
    <row r="94" spans="3:4" x14ac:dyDescent="0.25">
      <c r="D94"/>
    </row>
    <row r="95" spans="3:4" x14ac:dyDescent="0.25">
      <c r="D95"/>
    </row>
    <row r="96" spans="3:4" x14ac:dyDescent="0.25">
      <c r="D96"/>
    </row>
    <row r="97" spans="4:4" x14ac:dyDescent="0.25">
      <c r="D97"/>
    </row>
    <row r="98" spans="4:4" x14ac:dyDescent="0.25">
      <c r="D98"/>
    </row>
    <row r="99" spans="4:4" x14ac:dyDescent="0.25">
      <c r="D99"/>
    </row>
    <row r="100" spans="4:4" x14ac:dyDescent="0.25">
      <c r="D100"/>
    </row>
    <row r="101" spans="4:4" x14ac:dyDescent="0.25">
      <c r="D101"/>
    </row>
  </sheetData>
  <mergeCells count="50">
    <mergeCell ref="G15:G16"/>
    <mergeCell ref="A52:D52"/>
    <mergeCell ref="F52:F58"/>
    <mergeCell ref="F33:F34"/>
    <mergeCell ref="A41:D41"/>
    <mergeCell ref="A50:A51"/>
    <mergeCell ref="B50:B51"/>
    <mergeCell ref="C50:C51"/>
    <mergeCell ref="D50:D51"/>
    <mergeCell ref="B39:B40"/>
    <mergeCell ref="C39:C40"/>
    <mergeCell ref="D39:D40"/>
    <mergeCell ref="A29:A30"/>
    <mergeCell ref="D29:D30"/>
    <mergeCell ref="A31:D31"/>
    <mergeCell ref="A69:A70"/>
    <mergeCell ref="B69:B70"/>
    <mergeCell ref="C69:C70"/>
    <mergeCell ref="D69:D70"/>
    <mergeCell ref="F70:F73"/>
    <mergeCell ref="A71:D71"/>
    <mergeCell ref="E69:E70"/>
    <mergeCell ref="A39:A40"/>
    <mergeCell ref="F14:F16"/>
    <mergeCell ref="A16:B16"/>
    <mergeCell ref="B29:B30"/>
    <mergeCell ref="F63:F67"/>
    <mergeCell ref="A20:D20"/>
    <mergeCell ref="E18:E19"/>
    <mergeCell ref="A14:D14"/>
    <mergeCell ref="A61:A62"/>
    <mergeCell ref="B61:B62"/>
    <mergeCell ref="C61:C62"/>
    <mergeCell ref="D61:D62"/>
    <mergeCell ref="A63:D63"/>
    <mergeCell ref="F41:F48"/>
    <mergeCell ref="B7:D10"/>
    <mergeCell ref="A18:A19"/>
    <mergeCell ref="B18:B19"/>
    <mergeCell ref="C18:C19"/>
    <mergeCell ref="D18:D19"/>
    <mergeCell ref="D12:D13"/>
    <mergeCell ref="B12:B13"/>
    <mergeCell ref="C12:C13"/>
    <mergeCell ref="A12:A13"/>
    <mergeCell ref="E12:E13"/>
    <mergeCell ref="E61:E62"/>
    <mergeCell ref="E39:E40"/>
    <mergeCell ref="E29:E30"/>
    <mergeCell ref="C29:C3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76928-483A-40CE-9710-B5714E4C8F61}">
  <sheetPr>
    <tabColor rgb="FFFFC000"/>
  </sheetPr>
  <dimension ref="A6:G111"/>
  <sheetViews>
    <sheetView topLeftCell="A21" workbookViewId="0">
      <selection activeCell="E46" sqref="E46"/>
    </sheetView>
  </sheetViews>
  <sheetFormatPr defaultRowHeight="15" x14ac:dyDescent="0.25"/>
  <cols>
    <col min="2" max="2" width="22.85546875" customWidth="1"/>
    <col min="3" max="3" width="88.28515625" customWidth="1"/>
    <col min="4" max="4" width="0.28515625" style="2" hidden="1" customWidth="1"/>
    <col min="5" max="5" width="16.5703125" customWidth="1"/>
    <col min="6" max="6" width="50.28515625" customWidth="1"/>
  </cols>
  <sheetData>
    <row r="6" spans="1:7" x14ac:dyDescent="0.25">
      <c r="B6" s="170" t="s">
        <v>108</v>
      </c>
      <c r="C6" s="171"/>
      <c r="D6" s="171"/>
      <c r="E6" s="172"/>
    </row>
    <row r="7" spans="1:7" ht="14.45" customHeight="1" x14ac:dyDescent="0.25">
      <c r="B7" s="173"/>
      <c r="C7" s="174"/>
      <c r="D7" s="174"/>
      <c r="E7" s="175"/>
    </row>
    <row r="8" spans="1:7" ht="15" customHeight="1" x14ac:dyDescent="0.25">
      <c r="B8" s="173"/>
      <c r="C8" s="174"/>
      <c r="D8" s="174"/>
      <c r="E8" s="175"/>
    </row>
    <row r="9" spans="1:7" ht="29.25" customHeight="1" x14ac:dyDescent="0.25">
      <c r="B9" s="176"/>
      <c r="C9" s="177"/>
      <c r="D9" s="177"/>
      <c r="E9" s="178"/>
    </row>
    <row r="11" spans="1:7" x14ac:dyDescent="0.25">
      <c r="A11" s="150" t="s">
        <v>1</v>
      </c>
      <c r="B11" s="150" t="s">
        <v>2</v>
      </c>
      <c r="C11" s="150" t="s">
        <v>3</v>
      </c>
      <c r="D11" s="144" t="s">
        <v>4</v>
      </c>
      <c r="E11" s="144" t="s">
        <v>5</v>
      </c>
    </row>
    <row r="12" spans="1:7" ht="15" customHeight="1" x14ac:dyDescent="0.25">
      <c r="A12" s="150"/>
      <c r="B12" s="150"/>
      <c r="C12" s="150"/>
      <c r="D12" s="144"/>
      <c r="E12" s="144"/>
    </row>
    <row r="13" spans="1:7" ht="15" customHeight="1" x14ac:dyDescent="0.25">
      <c r="A13" s="154" t="s">
        <v>85</v>
      </c>
      <c r="B13" s="154"/>
      <c r="C13" s="154"/>
      <c r="D13" s="154"/>
      <c r="E13" s="26"/>
      <c r="F13" s="156" t="s">
        <v>9</v>
      </c>
      <c r="G13" s="6">
        <v>0.4</v>
      </c>
    </row>
    <row r="14" spans="1:7" x14ac:dyDescent="0.25">
      <c r="A14" s="11">
        <v>1</v>
      </c>
      <c r="B14" s="11" t="s">
        <v>109</v>
      </c>
      <c r="C14" s="11" t="s">
        <v>110</v>
      </c>
      <c r="D14" s="16"/>
      <c r="E14" s="67"/>
      <c r="F14" s="156"/>
    </row>
    <row r="15" spans="1:7" x14ac:dyDescent="0.25">
      <c r="A15" s="167" t="s">
        <v>62</v>
      </c>
      <c r="B15" s="168"/>
      <c r="C15" s="17"/>
      <c r="D15" s="19"/>
      <c r="E15" s="14">
        <v>98000</v>
      </c>
      <c r="F15" s="156"/>
    </row>
    <row r="16" spans="1:7" x14ac:dyDescent="0.25">
      <c r="D16" s="6"/>
      <c r="E16" s="2"/>
    </row>
    <row r="17" spans="1:6" x14ac:dyDescent="0.25">
      <c r="A17" s="150" t="s">
        <v>1</v>
      </c>
      <c r="B17" s="150" t="s">
        <v>2</v>
      </c>
      <c r="C17" s="150" t="s">
        <v>3</v>
      </c>
      <c r="D17" s="144" t="s">
        <v>4</v>
      </c>
      <c r="E17" s="144" t="s">
        <v>5</v>
      </c>
    </row>
    <row r="18" spans="1:6" x14ac:dyDescent="0.25">
      <c r="A18" s="150"/>
      <c r="B18" s="150"/>
      <c r="C18" s="150"/>
      <c r="D18" s="144"/>
      <c r="E18" s="144"/>
    </row>
    <row r="19" spans="1:6" ht="15.75" x14ac:dyDescent="0.25">
      <c r="A19" s="149" t="s">
        <v>111</v>
      </c>
      <c r="B19" s="149"/>
      <c r="C19" s="149"/>
      <c r="D19" s="149"/>
      <c r="E19" s="3"/>
    </row>
    <row r="20" spans="1:6" x14ac:dyDescent="0.25">
      <c r="A20" s="74">
        <v>1</v>
      </c>
      <c r="B20" s="48" t="s">
        <v>64</v>
      </c>
      <c r="C20" s="46" t="s">
        <v>65</v>
      </c>
      <c r="D20" s="52"/>
      <c r="E20" s="72">
        <f>30941/2</f>
        <v>15470.5</v>
      </c>
      <c r="F20" s="147" t="s">
        <v>112</v>
      </c>
    </row>
    <row r="21" spans="1:6" x14ac:dyDescent="0.25">
      <c r="A21" s="74">
        <v>1</v>
      </c>
      <c r="B21" s="48" t="s">
        <v>66</v>
      </c>
      <c r="C21" s="49" t="s">
        <v>67</v>
      </c>
      <c r="D21" s="52"/>
      <c r="E21" s="73">
        <f>42620/2</f>
        <v>21310</v>
      </c>
      <c r="F21" s="147"/>
    </row>
    <row r="22" spans="1:6" x14ac:dyDescent="0.25">
      <c r="A22" s="74">
        <v>1</v>
      </c>
      <c r="B22" s="48" t="s">
        <v>68</v>
      </c>
      <c r="C22" s="49" t="s">
        <v>69</v>
      </c>
      <c r="D22" s="52"/>
      <c r="E22" s="73">
        <f>62797/2</f>
        <v>31398.5</v>
      </c>
      <c r="F22" s="147"/>
    </row>
    <row r="23" spans="1:6" x14ac:dyDescent="0.25">
      <c r="A23" s="75">
        <v>1</v>
      </c>
      <c r="B23" s="59" t="s">
        <v>70</v>
      </c>
      <c r="C23" s="62" t="s">
        <v>71</v>
      </c>
      <c r="D23" s="61"/>
      <c r="E23" s="73">
        <f>119146/2</f>
        <v>59573</v>
      </c>
      <c r="F23" s="147"/>
    </row>
    <row r="24" spans="1:6" x14ac:dyDescent="0.25">
      <c r="A24" s="75">
        <v>1</v>
      </c>
      <c r="B24" s="60" t="s">
        <v>72</v>
      </c>
      <c r="C24" s="59" t="s">
        <v>73</v>
      </c>
      <c r="D24" s="61"/>
      <c r="E24" s="73">
        <f>141849/2</f>
        <v>70924.5</v>
      </c>
      <c r="F24" s="147"/>
    </row>
    <row r="25" spans="1:6" x14ac:dyDescent="0.25">
      <c r="A25" s="75">
        <v>1</v>
      </c>
      <c r="B25" s="59" t="s">
        <v>74</v>
      </c>
      <c r="C25" s="49" t="s">
        <v>75</v>
      </c>
      <c r="D25" s="61"/>
      <c r="E25" s="73">
        <f>158086/2</f>
        <v>79043</v>
      </c>
      <c r="F25" s="147"/>
    </row>
    <row r="26" spans="1:6" x14ac:dyDescent="0.25">
      <c r="A26" s="33"/>
      <c r="B26" s="33"/>
      <c r="C26" s="33"/>
      <c r="D26" s="66"/>
      <c r="E26" s="58"/>
    </row>
    <row r="27" spans="1:6" x14ac:dyDescent="0.25">
      <c r="D27" s="6"/>
      <c r="E27" s="2"/>
    </row>
    <row r="28" spans="1:6" x14ac:dyDescent="0.25">
      <c r="A28" s="150" t="s">
        <v>1</v>
      </c>
      <c r="B28" s="150" t="s">
        <v>2</v>
      </c>
      <c r="C28" s="150" t="s">
        <v>3</v>
      </c>
      <c r="D28" s="144" t="s">
        <v>4</v>
      </c>
      <c r="E28" s="144" t="s">
        <v>5</v>
      </c>
    </row>
    <row r="29" spans="1:6" x14ac:dyDescent="0.25">
      <c r="A29" s="150"/>
      <c r="B29" s="150"/>
      <c r="C29" s="150"/>
      <c r="D29" s="144"/>
      <c r="E29" s="144"/>
    </row>
    <row r="30" spans="1:6" ht="15" customHeight="1" x14ac:dyDescent="0.25">
      <c r="A30" s="149" t="s">
        <v>226</v>
      </c>
      <c r="B30" s="149"/>
      <c r="C30" s="149"/>
      <c r="D30" s="149"/>
      <c r="E30" s="3"/>
      <c r="F30" s="156" t="s">
        <v>227</v>
      </c>
    </row>
    <row r="31" spans="1:6" ht="15" customHeight="1" x14ac:dyDescent="0.25">
      <c r="A31" s="11">
        <v>1</v>
      </c>
      <c r="B31" s="11" t="s">
        <v>256</v>
      </c>
      <c r="C31" s="11" t="s">
        <v>257</v>
      </c>
      <c r="D31" s="25"/>
      <c r="E31" s="118">
        <v>28194</v>
      </c>
      <c r="F31" s="156"/>
    </row>
    <row r="32" spans="1:6" ht="15" customHeight="1" x14ac:dyDescent="0.25">
      <c r="A32" s="74">
        <v>1</v>
      </c>
      <c r="B32" s="77" t="s">
        <v>76</v>
      </c>
      <c r="C32" s="77" t="s">
        <v>77</v>
      </c>
      <c r="D32" s="77"/>
      <c r="E32" s="98">
        <v>52715.399999999994</v>
      </c>
      <c r="F32" s="156"/>
    </row>
    <row r="33" spans="1:6" ht="15" customHeight="1" x14ac:dyDescent="0.25">
      <c r="A33" s="76">
        <v>1</v>
      </c>
      <c r="B33" s="77" t="s">
        <v>78</v>
      </c>
      <c r="C33" s="77" t="s">
        <v>26</v>
      </c>
      <c r="D33" s="79"/>
      <c r="E33" s="98">
        <v>178343.19999999995</v>
      </c>
      <c r="F33" s="156"/>
    </row>
    <row r="34" spans="1:6" x14ac:dyDescent="0.25">
      <c r="A34" s="99">
        <v>1</v>
      </c>
      <c r="B34" s="100" t="s">
        <v>79</v>
      </c>
      <c r="C34" s="100" t="s">
        <v>24</v>
      </c>
      <c r="D34" s="100"/>
      <c r="E34" s="98">
        <v>104645.19999999995</v>
      </c>
      <c r="F34" s="156"/>
    </row>
    <row r="35" spans="1:6" x14ac:dyDescent="0.25">
      <c r="A35" s="101"/>
      <c r="B35" s="102"/>
      <c r="C35" s="102"/>
      <c r="D35" s="102"/>
      <c r="E35" s="103"/>
      <c r="F35" s="27"/>
    </row>
    <row r="36" spans="1:6" x14ac:dyDescent="0.25">
      <c r="D36"/>
      <c r="E36" s="3"/>
    </row>
    <row r="37" spans="1:6" x14ac:dyDescent="0.25">
      <c r="B37" s="145"/>
      <c r="C37" s="145"/>
      <c r="D37" s="145"/>
      <c r="E37" s="2"/>
    </row>
    <row r="38" spans="1:6" x14ac:dyDescent="0.25">
      <c r="A38" s="150" t="s">
        <v>1</v>
      </c>
      <c r="B38" s="150" t="s">
        <v>2</v>
      </c>
      <c r="C38" s="150" t="s">
        <v>3</v>
      </c>
      <c r="D38" s="144" t="s">
        <v>4</v>
      </c>
      <c r="E38" s="144" t="s">
        <v>5</v>
      </c>
    </row>
    <row r="39" spans="1:6" x14ac:dyDescent="0.25">
      <c r="A39" s="150"/>
      <c r="B39" s="150"/>
      <c r="C39" s="150"/>
      <c r="D39" s="144"/>
      <c r="E39" s="144"/>
    </row>
    <row r="40" spans="1:6" ht="15.75" x14ac:dyDescent="0.25">
      <c r="A40" s="149" t="s">
        <v>228</v>
      </c>
      <c r="B40" s="149"/>
      <c r="C40" s="149"/>
      <c r="D40" s="149"/>
      <c r="E40" s="3"/>
      <c r="F40" s="21"/>
    </row>
    <row r="41" spans="1:6" x14ac:dyDescent="0.25">
      <c r="A41" s="87">
        <v>1</v>
      </c>
      <c r="B41" s="68" t="s">
        <v>119</v>
      </c>
      <c r="C41" s="68" t="s">
        <v>120</v>
      </c>
      <c r="D41" s="68"/>
      <c r="E41" s="89">
        <v>6198</v>
      </c>
      <c r="F41" s="169" t="s">
        <v>27</v>
      </c>
    </row>
    <row r="42" spans="1:6" x14ac:dyDescent="0.25">
      <c r="A42" s="87">
        <v>1</v>
      </c>
      <c r="B42" s="68" t="s">
        <v>121</v>
      </c>
      <c r="C42" s="68" t="s">
        <v>122</v>
      </c>
      <c r="D42" s="68"/>
      <c r="E42" s="89">
        <v>6781.5</v>
      </c>
      <c r="F42" s="169"/>
    </row>
    <row r="43" spans="1:6" x14ac:dyDescent="0.25">
      <c r="A43" s="87">
        <v>1</v>
      </c>
      <c r="B43" s="68" t="s">
        <v>216</v>
      </c>
      <c r="C43" s="68" t="s">
        <v>95</v>
      </c>
      <c r="D43" s="68"/>
      <c r="E43" s="89">
        <v>8442.5</v>
      </c>
      <c r="F43" s="169"/>
    </row>
    <row r="44" spans="1:6" x14ac:dyDescent="0.25">
      <c r="A44" s="87">
        <v>1</v>
      </c>
      <c r="B44" s="68" t="s">
        <v>215</v>
      </c>
      <c r="C44" s="68" t="s">
        <v>96</v>
      </c>
      <c r="D44" s="68"/>
      <c r="E44" s="89">
        <v>12205</v>
      </c>
      <c r="F44" s="169"/>
    </row>
    <row r="45" spans="1:6" x14ac:dyDescent="0.25">
      <c r="A45" s="87">
        <v>1</v>
      </c>
      <c r="B45" s="68" t="s">
        <v>217</v>
      </c>
      <c r="C45" s="68" t="s">
        <v>98</v>
      </c>
      <c r="D45" s="68"/>
      <c r="E45" s="89">
        <v>12644</v>
      </c>
      <c r="F45" s="169"/>
    </row>
    <row r="46" spans="1:6" x14ac:dyDescent="0.25">
      <c r="A46" s="87">
        <v>1</v>
      </c>
      <c r="B46" s="68" t="s">
        <v>28</v>
      </c>
      <c r="C46" s="68" t="s">
        <v>29</v>
      </c>
      <c r="D46" s="68"/>
      <c r="E46" s="119">
        <v>33104</v>
      </c>
      <c r="F46" s="169"/>
    </row>
    <row r="47" spans="1:6" x14ac:dyDescent="0.25">
      <c r="A47" s="33"/>
      <c r="B47" s="56"/>
      <c r="C47" s="57"/>
      <c r="D47" s="35"/>
      <c r="E47" s="67"/>
      <c r="F47" s="169"/>
    </row>
    <row r="48" spans="1:6" x14ac:dyDescent="0.25">
      <c r="D48" s="6"/>
      <c r="E48" s="2"/>
    </row>
    <row r="49" spans="1:6" x14ac:dyDescent="0.25">
      <c r="A49" s="150" t="s">
        <v>1</v>
      </c>
      <c r="B49" s="150" t="s">
        <v>2</v>
      </c>
      <c r="C49" s="150" t="s">
        <v>3</v>
      </c>
      <c r="D49" s="144" t="s">
        <v>4</v>
      </c>
      <c r="E49" s="144" t="s">
        <v>5</v>
      </c>
    </row>
    <row r="50" spans="1:6" x14ac:dyDescent="0.25">
      <c r="A50" s="150"/>
      <c r="B50" s="150"/>
      <c r="C50" s="150"/>
      <c r="D50" s="144"/>
      <c r="E50" s="144"/>
    </row>
    <row r="51" spans="1:6" ht="15.75" x14ac:dyDescent="0.25">
      <c r="A51" s="149" t="s">
        <v>113</v>
      </c>
      <c r="B51" s="149"/>
      <c r="C51" s="149"/>
      <c r="D51" s="149"/>
      <c r="E51" s="3"/>
    </row>
    <row r="52" spans="1:6" x14ac:dyDescent="0.25">
      <c r="A52" s="50">
        <v>1</v>
      </c>
      <c r="B52" s="48" t="s">
        <v>38</v>
      </c>
      <c r="C52" s="49" t="s">
        <v>39</v>
      </c>
      <c r="D52" s="46"/>
      <c r="E52" s="86">
        <v>4595.5</v>
      </c>
    </row>
    <row r="53" spans="1:6" x14ac:dyDescent="0.25">
      <c r="A53" s="34">
        <v>1</v>
      </c>
      <c r="B53" s="48" t="s">
        <v>34</v>
      </c>
      <c r="C53" s="49" t="s">
        <v>35</v>
      </c>
      <c r="D53" s="46"/>
      <c r="E53" s="85">
        <v>8906.5</v>
      </c>
      <c r="F53" s="169" t="s">
        <v>80</v>
      </c>
    </row>
    <row r="54" spans="1:6" x14ac:dyDescent="0.25">
      <c r="A54" s="34">
        <v>1</v>
      </c>
      <c r="B54" s="46" t="s">
        <v>32</v>
      </c>
      <c r="C54" s="46" t="s">
        <v>33</v>
      </c>
      <c r="D54" s="46"/>
      <c r="E54" s="84">
        <v>10470</v>
      </c>
      <c r="F54" s="169"/>
    </row>
    <row r="55" spans="1:6" x14ac:dyDescent="0.25">
      <c r="A55" s="50">
        <v>1</v>
      </c>
      <c r="B55" s="48" t="s">
        <v>36</v>
      </c>
      <c r="C55" s="49" t="s">
        <v>37</v>
      </c>
      <c r="D55" s="46"/>
      <c r="E55" s="85">
        <v>11218.5</v>
      </c>
      <c r="F55" s="169"/>
    </row>
    <row r="56" spans="1:6" x14ac:dyDescent="0.25">
      <c r="A56" s="34">
        <v>1</v>
      </c>
      <c r="B56" s="48" t="s">
        <v>40</v>
      </c>
      <c r="C56" s="48" t="s">
        <v>41</v>
      </c>
      <c r="D56" s="46"/>
      <c r="E56" s="104">
        <v>24616</v>
      </c>
      <c r="F56" s="169"/>
    </row>
    <row r="57" spans="1:6" ht="15" customHeight="1" x14ac:dyDescent="0.25">
      <c r="A57" s="11"/>
      <c r="B57" s="11"/>
      <c r="C57" s="11"/>
      <c r="D57" s="11"/>
      <c r="E57" s="67"/>
      <c r="F57" s="169"/>
    </row>
    <row r="58" spans="1:6" x14ac:dyDescent="0.25">
      <c r="D58" s="3"/>
      <c r="E58" s="2"/>
      <c r="F58" s="21"/>
    </row>
    <row r="59" spans="1:6" x14ac:dyDescent="0.25">
      <c r="D59"/>
    </row>
    <row r="60" spans="1:6" x14ac:dyDescent="0.25">
      <c r="A60" s="150" t="s">
        <v>1</v>
      </c>
      <c r="B60" s="150" t="s">
        <v>2</v>
      </c>
      <c r="C60" s="150" t="s">
        <v>3</v>
      </c>
      <c r="D60" s="144" t="s">
        <v>4</v>
      </c>
      <c r="E60" s="144" t="s">
        <v>5</v>
      </c>
    </row>
    <row r="61" spans="1:6" x14ac:dyDescent="0.25">
      <c r="A61" s="150"/>
      <c r="B61" s="150"/>
      <c r="C61" s="150"/>
      <c r="D61" s="144"/>
      <c r="E61" s="144"/>
    </row>
    <row r="62" spans="1:6" ht="15.75" x14ac:dyDescent="0.25">
      <c r="A62" s="149" t="s">
        <v>114</v>
      </c>
      <c r="B62" s="149"/>
      <c r="C62" s="149"/>
      <c r="D62" s="149"/>
      <c r="E62" s="3"/>
    </row>
    <row r="63" spans="1:6" x14ac:dyDescent="0.25">
      <c r="A63" s="46">
        <v>1</v>
      </c>
      <c r="B63" s="54" t="s">
        <v>43</v>
      </c>
      <c r="C63" s="49" t="s">
        <v>44</v>
      </c>
      <c r="D63" s="52"/>
      <c r="E63" s="73">
        <v>8480</v>
      </c>
      <c r="F63" s="146" t="s">
        <v>42</v>
      </c>
    </row>
    <row r="64" spans="1:6" x14ac:dyDescent="0.25">
      <c r="A64" s="46">
        <v>1</v>
      </c>
      <c r="B64" s="48" t="s">
        <v>45</v>
      </c>
      <c r="C64" s="49" t="s">
        <v>46</v>
      </c>
      <c r="D64" s="52"/>
      <c r="E64" s="73">
        <v>13028</v>
      </c>
      <c r="F64" s="146"/>
    </row>
    <row r="65" spans="1:6" x14ac:dyDescent="0.25">
      <c r="A65" s="46">
        <v>1</v>
      </c>
      <c r="B65" s="48" t="s">
        <v>47</v>
      </c>
      <c r="C65" s="49" t="s">
        <v>48</v>
      </c>
      <c r="D65" s="52"/>
      <c r="E65" s="73">
        <v>14070.5</v>
      </c>
      <c r="F65" s="146"/>
    </row>
    <row r="66" spans="1:6" x14ac:dyDescent="0.25">
      <c r="A66" s="46">
        <v>1</v>
      </c>
      <c r="B66" s="48" t="s">
        <v>49</v>
      </c>
      <c r="C66" s="49" t="s">
        <v>50</v>
      </c>
      <c r="D66" s="52"/>
      <c r="E66" s="73">
        <v>23773</v>
      </c>
    </row>
    <row r="67" spans="1:6" x14ac:dyDescent="0.25">
      <c r="A67" s="95"/>
      <c r="B67" s="96"/>
      <c r="C67" s="93"/>
      <c r="D67" s="105"/>
      <c r="E67" s="94"/>
    </row>
    <row r="68" spans="1:6" ht="15.95" customHeight="1" x14ac:dyDescent="0.25">
      <c r="A68" s="150" t="s">
        <v>1</v>
      </c>
      <c r="B68" s="150" t="s">
        <v>2</v>
      </c>
      <c r="C68" s="150" t="s">
        <v>3</v>
      </c>
      <c r="D68" s="144" t="s">
        <v>4</v>
      </c>
      <c r="E68" s="144" t="s">
        <v>5</v>
      </c>
    </row>
    <row r="69" spans="1:6" ht="15.95" customHeight="1" x14ac:dyDescent="0.25">
      <c r="A69" s="150"/>
      <c r="B69" s="150"/>
      <c r="C69" s="150"/>
      <c r="D69" s="144"/>
      <c r="E69" s="144"/>
      <c r="F69" s="146" t="s">
        <v>51</v>
      </c>
    </row>
    <row r="70" spans="1:6" ht="15.75" x14ac:dyDescent="0.25">
      <c r="A70" s="149" t="s">
        <v>52</v>
      </c>
      <c r="B70" s="149"/>
      <c r="C70" s="149"/>
      <c r="D70" s="149"/>
      <c r="E70" s="3"/>
      <c r="F70" s="146"/>
    </row>
    <row r="71" spans="1:6" x14ac:dyDescent="0.25">
      <c r="A71" s="11">
        <v>1</v>
      </c>
      <c r="B71" s="11" t="s">
        <v>106</v>
      </c>
      <c r="C71" s="11" t="s">
        <v>54</v>
      </c>
      <c r="D71" s="11" t="s">
        <v>55</v>
      </c>
      <c r="E71" s="14">
        <v>1232</v>
      </c>
      <c r="F71" s="146"/>
    </row>
    <row r="72" spans="1:6" x14ac:dyDescent="0.25">
      <c r="A72" s="11">
        <v>1</v>
      </c>
      <c r="B72" s="11" t="s">
        <v>83</v>
      </c>
      <c r="C72" s="11" t="s">
        <v>57</v>
      </c>
      <c r="D72" s="11" t="s">
        <v>58</v>
      </c>
      <c r="E72" s="14">
        <v>720</v>
      </c>
      <c r="F72" s="146"/>
    </row>
    <row r="73" spans="1:6" x14ac:dyDescent="0.25">
      <c r="D73"/>
    </row>
    <row r="74" spans="1:6" ht="18" x14ac:dyDescent="0.25">
      <c r="A74" s="4"/>
      <c r="C74" s="106" t="s">
        <v>54</v>
      </c>
      <c r="D74"/>
      <c r="F74" s="4"/>
    </row>
    <row r="75" spans="1:6" x14ac:dyDescent="0.25">
      <c r="D75"/>
    </row>
    <row r="76" spans="1:6" x14ac:dyDescent="0.25">
      <c r="D76"/>
    </row>
    <row r="77" spans="1:6" x14ac:dyDescent="0.25">
      <c r="D77"/>
    </row>
    <row r="78" spans="1:6" x14ac:dyDescent="0.25">
      <c r="D78"/>
    </row>
    <row r="79" spans="1:6" x14ac:dyDescent="0.25">
      <c r="D79"/>
    </row>
    <row r="80" spans="1:6" x14ac:dyDescent="0.25">
      <c r="D80"/>
    </row>
    <row r="81" spans="3:4" x14ac:dyDescent="0.25">
      <c r="D81"/>
    </row>
    <row r="82" spans="3:4" x14ac:dyDescent="0.25">
      <c r="D82"/>
    </row>
    <row r="83" spans="3:4" x14ac:dyDescent="0.25">
      <c r="D83"/>
    </row>
    <row r="84" spans="3:4" x14ac:dyDescent="0.25">
      <c r="D84"/>
    </row>
    <row r="85" spans="3:4" x14ac:dyDescent="0.25">
      <c r="C85" s="106" t="s">
        <v>59</v>
      </c>
      <c r="D85"/>
    </row>
    <row r="86" spans="3:4" x14ac:dyDescent="0.25">
      <c r="D86"/>
    </row>
    <row r="87" spans="3:4" x14ac:dyDescent="0.25">
      <c r="D87"/>
    </row>
    <row r="88" spans="3:4" x14ac:dyDescent="0.25">
      <c r="D88"/>
    </row>
    <row r="89" spans="3:4" x14ac:dyDescent="0.25">
      <c r="D89"/>
    </row>
    <row r="90" spans="3:4" x14ac:dyDescent="0.25">
      <c r="D90"/>
    </row>
    <row r="91" spans="3:4" x14ac:dyDescent="0.25">
      <c r="D91"/>
    </row>
    <row r="92" spans="3:4" x14ac:dyDescent="0.25">
      <c r="D92"/>
    </row>
    <row r="93" spans="3:4" x14ac:dyDescent="0.25">
      <c r="D93"/>
    </row>
    <row r="94" spans="3:4" x14ac:dyDescent="0.25">
      <c r="D94"/>
    </row>
    <row r="95" spans="3:4" x14ac:dyDescent="0.25">
      <c r="D95"/>
    </row>
    <row r="96" spans="3:4" x14ac:dyDescent="0.25">
      <c r="D96"/>
    </row>
    <row r="97" spans="4:6" x14ac:dyDescent="0.25">
      <c r="D97"/>
    </row>
    <row r="98" spans="4:6" x14ac:dyDescent="0.25">
      <c r="D98"/>
    </row>
    <row r="99" spans="4:6" x14ac:dyDescent="0.25">
      <c r="D99"/>
    </row>
    <row r="100" spans="4:6" x14ac:dyDescent="0.25">
      <c r="D100"/>
    </row>
    <row r="101" spans="4:6" x14ac:dyDescent="0.25">
      <c r="D101"/>
    </row>
    <row r="102" spans="4:6" x14ac:dyDescent="0.25">
      <c r="D102"/>
    </row>
    <row r="103" spans="4:6" x14ac:dyDescent="0.25">
      <c r="D103"/>
      <c r="F103" s="6"/>
    </row>
    <row r="104" spans="4:6" x14ac:dyDescent="0.25">
      <c r="D104" s="6"/>
      <c r="E104" s="2"/>
    </row>
    <row r="105" spans="4:6" x14ac:dyDescent="0.25">
      <c r="D105" s="6"/>
      <c r="E105" s="2"/>
    </row>
    <row r="106" spans="4:6" x14ac:dyDescent="0.25">
      <c r="D106" s="6"/>
      <c r="E106" s="2"/>
    </row>
    <row r="107" spans="4:6" x14ac:dyDescent="0.25">
      <c r="D107" s="6"/>
      <c r="E107" s="2"/>
    </row>
    <row r="108" spans="4:6" x14ac:dyDescent="0.25">
      <c r="D108" s="6"/>
      <c r="E108" s="2"/>
    </row>
    <row r="109" spans="4:6" x14ac:dyDescent="0.25">
      <c r="D109" s="6"/>
      <c r="E109" s="2"/>
    </row>
    <row r="110" spans="4:6" x14ac:dyDescent="0.25">
      <c r="D110" s="6"/>
      <c r="E110" s="2"/>
    </row>
    <row r="111" spans="4:6" x14ac:dyDescent="0.25">
      <c r="D111" s="6"/>
      <c r="E111" s="2"/>
    </row>
  </sheetData>
  <mergeCells count="52">
    <mergeCell ref="F69:F72"/>
    <mergeCell ref="A70:D70"/>
    <mergeCell ref="E68:E69"/>
    <mergeCell ref="B37:D37"/>
    <mergeCell ref="E60:E61"/>
    <mergeCell ref="E49:E50"/>
    <mergeCell ref="E38:E39"/>
    <mergeCell ref="A68:A69"/>
    <mergeCell ref="B68:B69"/>
    <mergeCell ref="C68:C69"/>
    <mergeCell ref="D68:D69"/>
    <mergeCell ref="A40:D40"/>
    <mergeCell ref="F63:F65"/>
    <mergeCell ref="F53:F57"/>
    <mergeCell ref="F41:F47"/>
    <mergeCell ref="A62:D62"/>
    <mergeCell ref="A30:D30"/>
    <mergeCell ref="F20:F25"/>
    <mergeCell ref="F30:F34"/>
    <mergeCell ref="A60:A61"/>
    <mergeCell ref="B60:B61"/>
    <mergeCell ref="C60:C61"/>
    <mergeCell ref="D60:D61"/>
    <mergeCell ref="A49:A50"/>
    <mergeCell ref="B49:B50"/>
    <mergeCell ref="C49:C50"/>
    <mergeCell ref="D49:D50"/>
    <mergeCell ref="A51:D51"/>
    <mergeCell ref="A38:A39"/>
    <mergeCell ref="B38:B39"/>
    <mergeCell ref="C38:C39"/>
    <mergeCell ref="D38:D39"/>
    <mergeCell ref="F13:F15"/>
    <mergeCell ref="A15:B15"/>
    <mergeCell ref="D11:D12"/>
    <mergeCell ref="B11:B12"/>
    <mergeCell ref="C11:C12"/>
    <mergeCell ref="B6:E9"/>
    <mergeCell ref="E28:E29"/>
    <mergeCell ref="E17:E18"/>
    <mergeCell ref="E11:E12"/>
    <mergeCell ref="A11:A12"/>
    <mergeCell ref="A13:D13"/>
    <mergeCell ref="A17:A18"/>
    <mergeCell ref="B17:B18"/>
    <mergeCell ref="C17:C18"/>
    <mergeCell ref="D17:D18"/>
    <mergeCell ref="A19:D19"/>
    <mergeCell ref="A28:A29"/>
    <mergeCell ref="B28:B29"/>
    <mergeCell ref="C28:C29"/>
    <mergeCell ref="D28:D2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E1F1-43CF-4524-91E4-0D04B8B3FA04}">
  <sheetPr>
    <tabColor rgb="FF92D050"/>
  </sheetPr>
  <dimension ref="A7:H100"/>
  <sheetViews>
    <sheetView topLeftCell="A22" workbookViewId="0">
      <selection activeCell="D46" sqref="D46"/>
    </sheetView>
  </sheetViews>
  <sheetFormatPr defaultRowHeight="15" x14ac:dyDescent="0.25"/>
  <cols>
    <col min="2" max="2" width="15.28515625" customWidth="1"/>
    <col min="3" max="3" width="86.85546875" bestFit="1" customWidth="1"/>
    <col min="4" max="4" width="23.7109375" customWidth="1"/>
    <col min="5" max="5" width="35" customWidth="1"/>
    <col min="6" max="6" width="12.5703125" bestFit="1" customWidth="1"/>
    <col min="7" max="7" width="46.140625" customWidth="1"/>
  </cols>
  <sheetData>
    <row r="7" spans="1:8" x14ac:dyDescent="0.25">
      <c r="B7" s="153" t="s">
        <v>233</v>
      </c>
      <c r="C7" s="153"/>
    </row>
    <row r="8" spans="1:8" ht="30" customHeight="1" x14ac:dyDescent="0.25">
      <c r="B8" s="153"/>
      <c r="C8" s="153"/>
    </row>
    <row r="10" spans="1:8" ht="15" customHeight="1" x14ac:dyDescent="0.25">
      <c r="A10" s="150" t="s">
        <v>1</v>
      </c>
      <c r="B10" s="150" t="s">
        <v>2</v>
      </c>
      <c r="C10" s="150" t="s">
        <v>3</v>
      </c>
      <c r="D10" s="179" t="s">
        <v>5</v>
      </c>
    </row>
    <row r="11" spans="1:8" ht="15" customHeight="1" x14ac:dyDescent="0.25">
      <c r="A11" s="150"/>
      <c r="B11" s="150"/>
      <c r="C11" s="150"/>
      <c r="D11" s="179"/>
      <c r="H11" s="6">
        <v>0.4</v>
      </c>
    </row>
    <row r="12" spans="1:8" ht="15" customHeight="1" x14ac:dyDescent="0.25">
      <c r="A12" s="154" t="s">
        <v>115</v>
      </c>
      <c r="B12" s="154"/>
      <c r="C12" s="154"/>
      <c r="D12" s="26"/>
    </row>
    <row r="13" spans="1:8" ht="46.5" customHeight="1" x14ac:dyDescent="0.25">
      <c r="A13" s="17">
        <v>1</v>
      </c>
      <c r="B13" s="17" t="s">
        <v>139</v>
      </c>
      <c r="C13" s="17" t="s">
        <v>140</v>
      </c>
      <c r="D13" s="143"/>
      <c r="E13" s="156" t="s">
        <v>135</v>
      </c>
      <c r="F13" s="10"/>
    </row>
    <row r="14" spans="1:8" x14ac:dyDescent="0.25">
      <c r="A14" s="180" t="s">
        <v>62</v>
      </c>
      <c r="B14" s="180"/>
      <c r="C14" s="17"/>
      <c r="D14" s="143">
        <v>98000</v>
      </c>
      <c r="E14" s="156"/>
      <c r="F14" s="10"/>
    </row>
    <row r="15" spans="1:8" x14ac:dyDescent="0.25">
      <c r="B15" s="5"/>
      <c r="C15" s="5"/>
      <c r="D15" s="8"/>
      <c r="E15" s="156"/>
      <c r="F15" s="10"/>
    </row>
    <row r="16" spans="1:8" ht="15" customHeight="1" x14ac:dyDescent="0.25">
      <c r="A16" s="150" t="s">
        <v>1</v>
      </c>
      <c r="B16" s="150" t="s">
        <v>2</v>
      </c>
      <c r="C16" s="150" t="s">
        <v>3</v>
      </c>
      <c r="D16" s="179" t="s">
        <v>5</v>
      </c>
      <c r="F16" s="10"/>
    </row>
    <row r="17" spans="1:6" ht="15" customHeight="1" x14ac:dyDescent="0.25">
      <c r="A17" s="150"/>
      <c r="B17" s="150"/>
      <c r="C17" s="150"/>
      <c r="D17" s="179"/>
      <c r="F17" s="10"/>
    </row>
    <row r="18" spans="1:6" ht="15.75" x14ac:dyDescent="0.25">
      <c r="A18" s="149" t="s">
        <v>136</v>
      </c>
      <c r="B18" s="149"/>
      <c r="C18" s="149"/>
      <c r="D18" s="2"/>
      <c r="F18" s="10"/>
    </row>
    <row r="19" spans="1:6" ht="15" customHeight="1" x14ac:dyDescent="0.25">
      <c r="A19" s="115">
        <v>1</v>
      </c>
      <c r="B19" s="44" t="s">
        <v>213</v>
      </c>
      <c r="C19" s="44" t="s">
        <v>163</v>
      </c>
      <c r="D19" s="97">
        <f>33269/2</f>
        <v>16634.5</v>
      </c>
      <c r="E19" s="147" t="s">
        <v>137</v>
      </c>
      <c r="F19" s="10"/>
    </row>
    <row r="20" spans="1:6" x14ac:dyDescent="0.25">
      <c r="A20" s="115">
        <v>1</v>
      </c>
      <c r="B20" s="44" t="s">
        <v>12</v>
      </c>
      <c r="C20" s="44" t="s">
        <v>13</v>
      </c>
      <c r="D20" s="97">
        <f>46560/2</f>
        <v>23280</v>
      </c>
      <c r="E20" s="147"/>
      <c r="F20" s="10"/>
    </row>
    <row r="21" spans="1:6" x14ac:dyDescent="0.25">
      <c r="A21" s="115">
        <v>1</v>
      </c>
      <c r="B21" s="44" t="s">
        <v>16</v>
      </c>
      <c r="C21" s="44" t="s">
        <v>17</v>
      </c>
      <c r="D21" s="97">
        <f>52529/2</f>
        <v>26264.5</v>
      </c>
      <c r="E21" s="147"/>
      <c r="F21" s="10"/>
    </row>
    <row r="22" spans="1:6" x14ac:dyDescent="0.25">
      <c r="A22" s="115">
        <v>1</v>
      </c>
      <c r="B22" s="44" t="s">
        <v>18</v>
      </c>
      <c r="C22" s="44" t="s">
        <v>19</v>
      </c>
      <c r="D22" s="97">
        <f>70756/2</f>
        <v>35378</v>
      </c>
      <c r="E22" s="147"/>
      <c r="F22" s="10"/>
    </row>
    <row r="23" spans="1:6" x14ac:dyDescent="0.25">
      <c r="A23" s="115">
        <v>1</v>
      </c>
      <c r="B23" s="44" t="s">
        <v>20</v>
      </c>
      <c r="C23" s="44" t="s">
        <v>21</v>
      </c>
      <c r="D23" s="97">
        <f>80386/2</f>
        <v>40193</v>
      </c>
      <c r="E23" s="147"/>
      <c r="F23" s="10"/>
    </row>
    <row r="24" spans="1:6" x14ac:dyDescent="0.25">
      <c r="A24" s="115">
        <v>1</v>
      </c>
      <c r="B24" s="44" t="s">
        <v>14</v>
      </c>
      <c r="C24" s="44" t="s">
        <v>15</v>
      </c>
      <c r="D24" s="107">
        <f>115525/2</f>
        <v>57762.5</v>
      </c>
      <c r="E24" s="147"/>
      <c r="F24" s="10"/>
    </row>
    <row r="25" spans="1:6" x14ac:dyDescent="0.25">
      <c r="A25" s="11"/>
      <c r="B25" s="11"/>
      <c r="C25" s="11"/>
      <c r="D25" s="67"/>
      <c r="E25" s="147"/>
      <c r="F25" s="10"/>
    </row>
    <row r="28" spans="1:6" ht="15" customHeight="1" x14ac:dyDescent="0.25">
      <c r="A28" s="150" t="s">
        <v>1</v>
      </c>
      <c r="B28" s="150" t="s">
        <v>2</v>
      </c>
      <c r="C28" s="150" t="s">
        <v>3</v>
      </c>
      <c r="D28" s="179" t="s">
        <v>5</v>
      </c>
      <c r="E28" s="22"/>
    </row>
    <row r="29" spans="1:6" ht="15" customHeight="1" x14ac:dyDescent="0.25">
      <c r="A29" s="150"/>
      <c r="B29" s="150"/>
      <c r="C29" s="150"/>
      <c r="D29" s="179"/>
      <c r="E29" s="146" t="s">
        <v>138</v>
      </c>
    </row>
    <row r="30" spans="1:6" ht="15.75" customHeight="1" x14ac:dyDescent="0.25">
      <c r="A30" s="149" t="s">
        <v>234</v>
      </c>
      <c r="B30" s="149"/>
      <c r="C30" s="149"/>
      <c r="D30" s="2"/>
      <c r="E30" s="146"/>
    </row>
    <row r="31" spans="1:6" ht="15.75" customHeight="1" x14ac:dyDescent="0.25">
      <c r="A31" s="11">
        <v>1</v>
      </c>
      <c r="B31" s="11" t="s">
        <v>256</v>
      </c>
      <c r="C31" s="11" t="s">
        <v>257</v>
      </c>
      <c r="D31" s="118">
        <v>28194</v>
      </c>
      <c r="E31" s="146"/>
    </row>
    <row r="32" spans="1:6" ht="15" customHeight="1" x14ac:dyDescent="0.25">
      <c r="A32" s="11">
        <v>1</v>
      </c>
      <c r="B32" s="11" t="s">
        <v>89</v>
      </c>
      <c r="C32" s="11" t="s">
        <v>22</v>
      </c>
      <c r="D32" s="81">
        <v>52715.399999999994</v>
      </c>
      <c r="E32" s="146"/>
    </row>
    <row r="33" spans="1:6" ht="15" customHeight="1" x14ac:dyDescent="0.25">
      <c r="A33" s="11">
        <v>1</v>
      </c>
      <c r="B33" s="11" t="s">
        <v>23</v>
      </c>
      <c r="C33" s="36" t="s">
        <v>24</v>
      </c>
      <c r="D33" s="81">
        <v>178343.19999999995</v>
      </c>
      <c r="E33" s="146"/>
    </row>
    <row r="34" spans="1:6" ht="15" customHeight="1" x14ac:dyDescent="0.25">
      <c r="A34" s="11">
        <v>1</v>
      </c>
      <c r="B34" s="34" t="s">
        <v>25</v>
      </c>
      <c r="C34" s="33" t="s">
        <v>26</v>
      </c>
      <c r="D34" s="108">
        <v>104645.19999999995</v>
      </c>
      <c r="E34" s="146"/>
    </row>
    <row r="35" spans="1:6" x14ac:dyDescent="0.25">
      <c r="A35" s="11"/>
      <c r="B35" s="11"/>
      <c r="C35" s="11"/>
      <c r="D35" s="109"/>
      <c r="E35" s="146"/>
    </row>
    <row r="37" spans="1:6" x14ac:dyDescent="0.25">
      <c r="D37" s="2"/>
      <c r="F37" s="10"/>
    </row>
    <row r="38" spans="1:6" ht="15" customHeight="1" x14ac:dyDescent="0.25">
      <c r="A38" s="150" t="s">
        <v>1</v>
      </c>
      <c r="B38" s="150" t="s">
        <v>2</v>
      </c>
      <c r="C38" s="150" t="s">
        <v>3</v>
      </c>
      <c r="D38" s="179" t="s">
        <v>5</v>
      </c>
      <c r="F38" s="10"/>
    </row>
    <row r="39" spans="1:6" ht="15" customHeight="1" x14ac:dyDescent="0.25">
      <c r="A39" s="150"/>
      <c r="B39" s="150"/>
      <c r="C39" s="150"/>
      <c r="D39" s="179"/>
      <c r="F39" s="10"/>
    </row>
    <row r="40" spans="1:6" ht="15.75" x14ac:dyDescent="0.25">
      <c r="A40" s="149" t="s">
        <v>229</v>
      </c>
      <c r="B40" s="149"/>
      <c r="C40" s="149"/>
      <c r="D40" s="2"/>
      <c r="F40" s="10"/>
    </row>
    <row r="41" spans="1:6" ht="14.45" customHeight="1" x14ac:dyDescent="0.25">
      <c r="A41" s="87">
        <v>1</v>
      </c>
      <c r="B41" s="68" t="s">
        <v>119</v>
      </c>
      <c r="C41" s="68" t="s">
        <v>120</v>
      </c>
      <c r="D41" s="89">
        <v>6198</v>
      </c>
      <c r="E41" s="169" t="s">
        <v>27</v>
      </c>
      <c r="F41" s="10"/>
    </row>
    <row r="42" spans="1:6" x14ac:dyDescent="0.25">
      <c r="A42" s="87">
        <v>1</v>
      </c>
      <c r="B42" s="68" t="s">
        <v>121</v>
      </c>
      <c r="C42" s="68" t="s">
        <v>122</v>
      </c>
      <c r="D42" s="89">
        <v>6781.5</v>
      </c>
      <c r="E42" s="169"/>
    </row>
    <row r="43" spans="1:6" x14ac:dyDescent="0.25">
      <c r="A43" s="87">
        <v>1</v>
      </c>
      <c r="B43" s="68" t="s">
        <v>216</v>
      </c>
      <c r="C43" s="68" t="s">
        <v>95</v>
      </c>
      <c r="D43" s="89">
        <v>8442.5</v>
      </c>
      <c r="E43" s="169"/>
    </row>
    <row r="44" spans="1:6" x14ac:dyDescent="0.25">
      <c r="A44" s="87">
        <v>1</v>
      </c>
      <c r="B44" s="68" t="s">
        <v>215</v>
      </c>
      <c r="C44" s="68" t="s">
        <v>96</v>
      </c>
      <c r="D44" s="89">
        <v>12205</v>
      </c>
      <c r="E44" s="169"/>
    </row>
    <row r="45" spans="1:6" x14ac:dyDescent="0.25">
      <c r="A45" s="87">
        <v>1</v>
      </c>
      <c r="B45" s="68" t="s">
        <v>217</v>
      </c>
      <c r="C45" s="68" t="s">
        <v>98</v>
      </c>
      <c r="D45" s="89">
        <v>12644</v>
      </c>
      <c r="E45" s="169"/>
    </row>
    <row r="46" spans="1:6" x14ac:dyDescent="0.25">
      <c r="A46" s="87">
        <v>1</v>
      </c>
      <c r="B46" s="68" t="s">
        <v>28</v>
      </c>
      <c r="C46" s="68" t="s">
        <v>29</v>
      </c>
      <c r="D46" s="119">
        <v>33104</v>
      </c>
      <c r="E46" s="169"/>
    </row>
    <row r="47" spans="1:6" x14ac:dyDescent="0.25">
      <c r="A47" s="11"/>
      <c r="B47" s="11"/>
      <c r="C47" s="11"/>
      <c r="D47" s="67"/>
      <c r="E47" s="169"/>
    </row>
    <row r="48" spans="1:6" x14ac:dyDescent="0.25">
      <c r="E48" s="169"/>
    </row>
    <row r="49" spans="1:5" x14ac:dyDescent="0.25">
      <c r="D49" s="2"/>
    </row>
    <row r="50" spans="1:5" ht="15" customHeight="1" x14ac:dyDescent="0.25">
      <c r="A50" s="150" t="s">
        <v>1</v>
      </c>
      <c r="B50" s="150" t="s">
        <v>2</v>
      </c>
      <c r="C50" s="150" t="s">
        <v>3</v>
      </c>
      <c r="D50" s="179" t="s">
        <v>5</v>
      </c>
    </row>
    <row r="51" spans="1:5" ht="15" customHeight="1" x14ac:dyDescent="0.25">
      <c r="A51" s="150"/>
      <c r="B51" s="150"/>
      <c r="C51" s="150"/>
      <c r="D51" s="179"/>
    </row>
    <row r="52" spans="1:5" ht="15.75" x14ac:dyDescent="0.25">
      <c r="A52" s="149" t="s">
        <v>230</v>
      </c>
      <c r="B52" s="149"/>
      <c r="C52" s="149"/>
      <c r="D52" s="2"/>
    </row>
    <row r="53" spans="1:5" x14ac:dyDescent="0.25">
      <c r="A53" s="50">
        <v>1</v>
      </c>
      <c r="B53" s="48" t="s">
        <v>38</v>
      </c>
      <c r="C53" s="49" t="s">
        <v>39</v>
      </c>
      <c r="D53" s="86">
        <v>4595.5</v>
      </c>
    </row>
    <row r="54" spans="1:5" x14ac:dyDescent="0.25">
      <c r="A54" s="34">
        <v>1</v>
      </c>
      <c r="B54" s="48" t="s">
        <v>34</v>
      </c>
      <c r="C54" s="49" t="s">
        <v>35</v>
      </c>
      <c r="D54" s="85">
        <v>8906.5</v>
      </c>
      <c r="E54" s="169" t="s">
        <v>231</v>
      </c>
    </row>
    <row r="55" spans="1:5" x14ac:dyDescent="0.25">
      <c r="A55" s="34">
        <v>1</v>
      </c>
      <c r="B55" s="46" t="s">
        <v>32</v>
      </c>
      <c r="C55" s="46" t="s">
        <v>33</v>
      </c>
      <c r="D55" s="84">
        <v>10470</v>
      </c>
      <c r="E55" s="169"/>
    </row>
    <row r="56" spans="1:5" x14ac:dyDescent="0.25">
      <c r="A56" s="50">
        <v>1</v>
      </c>
      <c r="B56" s="48" t="s">
        <v>36</v>
      </c>
      <c r="C56" s="49" t="s">
        <v>37</v>
      </c>
      <c r="D56" s="85">
        <v>11218.5</v>
      </c>
      <c r="E56" s="169"/>
    </row>
    <row r="57" spans="1:5" x14ac:dyDescent="0.25">
      <c r="A57" s="34">
        <v>1</v>
      </c>
      <c r="B57" s="48" t="s">
        <v>40</v>
      </c>
      <c r="C57" s="48" t="s">
        <v>41</v>
      </c>
      <c r="D57" s="104">
        <v>24616</v>
      </c>
      <c r="E57" s="169"/>
    </row>
    <row r="58" spans="1:5" x14ac:dyDescent="0.25">
      <c r="A58" s="11"/>
      <c r="B58" s="11"/>
      <c r="C58" s="11"/>
      <c r="D58" s="67"/>
      <c r="E58" s="169"/>
    </row>
    <row r="60" spans="1:5" x14ac:dyDescent="0.25">
      <c r="D60" s="2"/>
    </row>
    <row r="61" spans="1:5" ht="15" customHeight="1" x14ac:dyDescent="0.25">
      <c r="A61" s="150" t="s">
        <v>1</v>
      </c>
      <c r="B61" s="150" t="s">
        <v>2</v>
      </c>
      <c r="C61" s="150" t="s">
        <v>3</v>
      </c>
      <c r="D61" s="179" t="s">
        <v>5</v>
      </c>
    </row>
    <row r="62" spans="1:5" ht="15" customHeight="1" x14ac:dyDescent="0.25">
      <c r="A62" s="150"/>
      <c r="B62" s="150"/>
      <c r="C62" s="150"/>
      <c r="D62" s="179"/>
    </row>
    <row r="63" spans="1:5" ht="15.75" x14ac:dyDescent="0.25">
      <c r="A63" s="149" t="s">
        <v>232</v>
      </c>
      <c r="B63" s="149"/>
      <c r="C63" s="149"/>
      <c r="D63" s="2"/>
    </row>
    <row r="64" spans="1:5" x14ac:dyDescent="0.25">
      <c r="A64" s="11">
        <v>1</v>
      </c>
      <c r="B64" s="11" t="s">
        <v>142</v>
      </c>
      <c r="C64" s="11" t="s">
        <v>134</v>
      </c>
      <c r="D64" s="14">
        <v>8480</v>
      </c>
    </row>
    <row r="65" spans="1:6" x14ac:dyDescent="0.25">
      <c r="A65" s="11">
        <v>1</v>
      </c>
      <c r="B65" s="11" t="s">
        <v>143</v>
      </c>
      <c r="C65" s="11" t="s">
        <v>130</v>
      </c>
      <c r="D65" s="14">
        <v>13028</v>
      </c>
      <c r="E65" s="146" t="s">
        <v>42</v>
      </c>
    </row>
    <row r="66" spans="1:6" x14ac:dyDescent="0.25">
      <c r="A66" s="11">
        <v>1</v>
      </c>
      <c r="B66" s="11" t="s">
        <v>144</v>
      </c>
      <c r="C66" s="11" t="s">
        <v>128</v>
      </c>
      <c r="D66" s="14">
        <v>14070.5</v>
      </c>
      <c r="E66" s="146"/>
    </row>
    <row r="67" spans="1:6" x14ac:dyDescent="0.25">
      <c r="A67" s="11">
        <v>1</v>
      </c>
      <c r="B67" s="11" t="s">
        <v>145</v>
      </c>
      <c r="C67" s="11" t="s">
        <v>132</v>
      </c>
      <c r="D67" s="14">
        <v>23773</v>
      </c>
      <c r="E67" s="146"/>
    </row>
    <row r="68" spans="1:6" x14ac:dyDescent="0.25">
      <c r="A68" s="11"/>
      <c r="B68" s="11"/>
      <c r="C68" s="11"/>
      <c r="D68" s="11"/>
    </row>
    <row r="70" spans="1:6" ht="15" customHeight="1" x14ac:dyDescent="0.25">
      <c r="A70" s="150" t="s">
        <v>1</v>
      </c>
      <c r="B70" s="150" t="s">
        <v>2</v>
      </c>
      <c r="C70" s="150" t="s">
        <v>3</v>
      </c>
      <c r="D70" s="179" t="s">
        <v>5</v>
      </c>
    </row>
    <row r="71" spans="1:6" ht="15" customHeight="1" x14ac:dyDescent="0.25">
      <c r="A71" s="150"/>
      <c r="B71" s="150"/>
      <c r="C71" s="150"/>
      <c r="D71" s="179"/>
      <c r="E71" s="147" t="s">
        <v>51</v>
      </c>
    </row>
    <row r="72" spans="1:6" ht="15.75" x14ac:dyDescent="0.25">
      <c r="A72" s="149" t="s">
        <v>52</v>
      </c>
      <c r="B72" s="149"/>
      <c r="C72" s="149"/>
      <c r="D72" s="25"/>
      <c r="E72" s="147"/>
    </row>
    <row r="73" spans="1:6" x14ac:dyDescent="0.25">
      <c r="A73" s="11">
        <v>1</v>
      </c>
      <c r="B73" s="11" t="s">
        <v>106</v>
      </c>
      <c r="C73" s="11" t="s">
        <v>54</v>
      </c>
      <c r="D73" s="14">
        <v>1232</v>
      </c>
      <c r="E73" s="147"/>
    </row>
    <row r="74" spans="1:6" x14ac:dyDescent="0.25">
      <c r="A74" s="11">
        <v>1</v>
      </c>
      <c r="B74" s="11" t="s">
        <v>83</v>
      </c>
      <c r="C74" s="11" t="s">
        <v>57</v>
      </c>
      <c r="D74" s="14">
        <v>720</v>
      </c>
    </row>
    <row r="75" spans="1:6" ht="18" x14ac:dyDescent="0.25">
      <c r="A75" s="28"/>
      <c r="F75" s="28"/>
    </row>
    <row r="76" spans="1:6" x14ac:dyDescent="0.25">
      <c r="C76" s="106" t="s">
        <v>54</v>
      </c>
    </row>
    <row r="86" spans="3:6" x14ac:dyDescent="0.25">
      <c r="C86" s="106" t="s">
        <v>59</v>
      </c>
    </row>
    <row r="96" spans="3:6" x14ac:dyDescent="0.25">
      <c r="F96" s="10"/>
    </row>
    <row r="97" spans="6:6" x14ac:dyDescent="0.25">
      <c r="F97" s="10"/>
    </row>
    <row r="98" spans="6:6" x14ac:dyDescent="0.25">
      <c r="F98" s="10"/>
    </row>
    <row r="99" spans="6:6" x14ac:dyDescent="0.25">
      <c r="F99" s="10"/>
    </row>
    <row r="100" spans="6:6" x14ac:dyDescent="0.25">
      <c r="F100" s="10"/>
    </row>
  </sheetData>
  <mergeCells count="44">
    <mergeCell ref="B7:C8"/>
    <mergeCell ref="A10:A11"/>
    <mergeCell ref="B10:B11"/>
    <mergeCell ref="C10:C11"/>
    <mergeCell ref="D10:D11"/>
    <mergeCell ref="D28:D29"/>
    <mergeCell ref="E13:E15"/>
    <mergeCell ref="A14:B14"/>
    <mergeCell ref="A16:A17"/>
    <mergeCell ref="B16:B17"/>
    <mergeCell ref="C16:C17"/>
    <mergeCell ref="D16:D17"/>
    <mergeCell ref="E19:E25"/>
    <mergeCell ref="E29:E35"/>
    <mergeCell ref="A12:C12"/>
    <mergeCell ref="A18:C18"/>
    <mergeCell ref="A28:A29"/>
    <mergeCell ref="B28:B29"/>
    <mergeCell ref="C28:C29"/>
    <mergeCell ref="A38:A39"/>
    <mergeCell ref="B38:B39"/>
    <mergeCell ref="C38:C39"/>
    <mergeCell ref="D38:D39"/>
    <mergeCell ref="A30:C30"/>
    <mergeCell ref="A40:C40"/>
    <mergeCell ref="E41:E48"/>
    <mergeCell ref="A50:A51"/>
    <mergeCell ref="B50:B51"/>
    <mergeCell ref="C50:C51"/>
    <mergeCell ref="D50:D51"/>
    <mergeCell ref="A52:C52"/>
    <mergeCell ref="E54:E58"/>
    <mergeCell ref="A61:A62"/>
    <mergeCell ref="B61:B62"/>
    <mergeCell ref="C61:C62"/>
    <mergeCell ref="D61:D62"/>
    <mergeCell ref="A63:C63"/>
    <mergeCell ref="E65:E67"/>
    <mergeCell ref="A70:A71"/>
    <mergeCell ref="B70:B71"/>
    <mergeCell ref="C70:C71"/>
    <mergeCell ref="D70:D71"/>
    <mergeCell ref="E71:E73"/>
    <mergeCell ref="A72:C7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3C11-C8AD-4BDC-BED0-2AAF7FBAD7B1}">
  <sheetPr>
    <tabColor theme="8" tint="0.39997558519241921"/>
  </sheetPr>
  <dimension ref="A7:G99"/>
  <sheetViews>
    <sheetView topLeftCell="A30" workbookViewId="0">
      <selection activeCell="D46" sqref="D46"/>
    </sheetView>
  </sheetViews>
  <sheetFormatPr defaultRowHeight="15" x14ac:dyDescent="0.25"/>
  <cols>
    <col min="2" max="2" width="19.5703125" customWidth="1"/>
    <col min="3" max="3" width="90" customWidth="1"/>
    <col min="4" max="4" width="16.42578125" style="2" customWidth="1"/>
    <col min="5" max="5" width="41.28515625" customWidth="1"/>
  </cols>
  <sheetData>
    <row r="7" spans="1:7" x14ac:dyDescent="0.25">
      <c r="B7" s="153" t="s">
        <v>146</v>
      </c>
      <c r="C7" s="153"/>
      <c r="D7" s="24"/>
    </row>
    <row r="8" spans="1:7" ht="39" customHeight="1" x14ac:dyDescent="0.25">
      <c r="B8" s="153"/>
      <c r="C8" s="153"/>
      <c r="D8" s="24"/>
    </row>
    <row r="10" spans="1:7" ht="15" customHeight="1" x14ac:dyDescent="0.25">
      <c r="A10" s="150" t="s">
        <v>1</v>
      </c>
      <c r="B10" s="150" t="s">
        <v>2</v>
      </c>
      <c r="C10" s="150" t="s">
        <v>3</v>
      </c>
      <c r="D10" s="144" t="s">
        <v>5</v>
      </c>
    </row>
    <row r="11" spans="1:7" ht="15" customHeight="1" x14ac:dyDescent="0.25">
      <c r="A11" s="150"/>
      <c r="B11" s="150"/>
      <c r="C11" s="150"/>
      <c r="D11" s="144"/>
      <c r="G11" s="8">
        <v>0.4</v>
      </c>
    </row>
    <row r="12" spans="1:7" ht="15" customHeight="1" x14ac:dyDescent="0.25">
      <c r="A12" s="154" t="s">
        <v>115</v>
      </c>
      <c r="B12" s="154"/>
      <c r="C12" s="154"/>
      <c r="D12" s="26"/>
      <c r="E12" s="156" t="s">
        <v>255</v>
      </c>
    </row>
    <row r="13" spans="1:7" ht="46.5" customHeight="1" x14ac:dyDescent="0.25">
      <c r="A13" s="17">
        <v>1</v>
      </c>
      <c r="B13" s="17" t="s">
        <v>148</v>
      </c>
      <c r="C13" s="17" t="s">
        <v>149</v>
      </c>
      <c r="D13" s="17"/>
      <c r="E13" s="156"/>
    </row>
    <row r="14" spans="1:7" x14ac:dyDescent="0.25">
      <c r="A14" s="167" t="s">
        <v>62</v>
      </c>
      <c r="B14" s="168"/>
      <c r="C14" s="20"/>
      <c r="D14" s="14">
        <v>82000</v>
      </c>
      <c r="E14" s="156"/>
    </row>
    <row r="15" spans="1:7" x14ac:dyDescent="0.25">
      <c r="D15"/>
    </row>
    <row r="16" spans="1:7" ht="15" customHeight="1" x14ac:dyDescent="0.25">
      <c r="A16" s="150" t="s">
        <v>1</v>
      </c>
      <c r="B16" s="150" t="s">
        <v>2</v>
      </c>
      <c r="C16" s="150" t="s">
        <v>3</v>
      </c>
      <c r="D16" s="144" t="s">
        <v>5</v>
      </c>
    </row>
    <row r="17" spans="1:5" ht="15" customHeight="1" x14ac:dyDescent="0.25">
      <c r="A17" s="150"/>
      <c r="B17" s="150"/>
      <c r="C17" s="150"/>
      <c r="D17" s="144"/>
    </row>
    <row r="18" spans="1:5" ht="15.75" x14ac:dyDescent="0.25">
      <c r="A18" s="149" t="s">
        <v>235</v>
      </c>
      <c r="B18" s="149"/>
      <c r="C18" s="149"/>
      <c r="D18" s="25"/>
    </row>
    <row r="19" spans="1:5" x14ac:dyDescent="0.25">
      <c r="A19" s="74">
        <v>1</v>
      </c>
      <c r="B19" s="48" t="s">
        <v>64</v>
      </c>
      <c r="C19" s="46" t="s">
        <v>65</v>
      </c>
      <c r="D19" s="72">
        <f>30941/2</f>
        <v>15470.5</v>
      </c>
      <c r="E19" s="169" t="s">
        <v>137</v>
      </c>
    </row>
    <row r="20" spans="1:5" x14ac:dyDescent="0.25">
      <c r="A20" s="48">
        <v>1</v>
      </c>
      <c r="B20" s="48" t="s">
        <v>66</v>
      </c>
      <c r="C20" s="48" t="s">
        <v>67</v>
      </c>
      <c r="D20" s="72">
        <f>42620/2</f>
        <v>21310</v>
      </c>
      <c r="E20" s="169"/>
    </row>
    <row r="21" spans="1:5" x14ac:dyDescent="0.25">
      <c r="A21" s="48">
        <v>1</v>
      </c>
      <c r="B21" s="48" t="s">
        <v>151</v>
      </c>
      <c r="C21" s="48" t="s">
        <v>152</v>
      </c>
      <c r="D21" s="72">
        <f>48590/2</f>
        <v>24295</v>
      </c>
      <c r="E21" s="169"/>
    </row>
    <row r="22" spans="1:5" x14ac:dyDescent="0.25">
      <c r="A22" s="48">
        <v>1</v>
      </c>
      <c r="B22" s="48" t="s">
        <v>68</v>
      </c>
      <c r="C22" s="48" t="s">
        <v>69</v>
      </c>
      <c r="D22" s="72">
        <f>62797/2</f>
        <v>31398.5</v>
      </c>
      <c r="E22" s="169"/>
    </row>
    <row r="23" spans="1:5" x14ac:dyDescent="0.25">
      <c r="A23" s="48">
        <v>1</v>
      </c>
      <c r="B23" s="48" t="s">
        <v>153</v>
      </c>
      <c r="C23" s="48" t="s">
        <v>118</v>
      </c>
      <c r="D23" s="72">
        <f>75511/2</f>
        <v>37755.5</v>
      </c>
      <c r="E23" s="169"/>
    </row>
    <row r="24" spans="1:5" x14ac:dyDescent="0.25">
      <c r="A24" s="48">
        <v>1</v>
      </c>
      <c r="B24" s="48" t="s">
        <v>154</v>
      </c>
      <c r="C24" s="48" t="s">
        <v>155</v>
      </c>
      <c r="D24" s="72">
        <f>100661/2</f>
        <v>50330.5</v>
      </c>
      <c r="E24" s="169"/>
    </row>
    <row r="25" spans="1:5" x14ac:dyDescent="0.25">
      <c r="A25" s="48">
        <v>1</v>
      </c>
      <c r="B25" s="48" t="s">
        <v>70</v>
      </c>
      <c r="C25" s="48" t="s">
        <v>71</v>
      </c>
      <c r="D25" s="72">
        <f>119146/2</f>
        <v>59573</v>
      </c>
      <c r="E25" s="169"/>
    </row>
    <row r="26" spans="1:5" x14ac:dyDescent="0.25">
      <c r="A26" s="11">
        <v>1</v>
      </c>
      <c r="B26" s="48" t="s">
        <v>116</v>
      </c>
      <c r="C26" s="48" t="s">
        <v>117</v>
      </c>
      <c r="D26" s="110">
        <f>135880/2</f>
        <v>67940</v>
      </c>
      <c r="E26" s="169"/>
    </row>
    <row r="27" spans="1:5" x14ac:dyDescent="0.25">
      <c r="A27" s="11"/>
      <c r="B27" s="11"/>
      <c r="C27" s="11"/>
      <c r="D27" s="67"/>
      <c r="E27" s="169"/>
    </row>
    <row r="28" spans="1:5" ht="15" customHeight="1" x14ac:dyDescent="0.25">
      <c r="D28" s="6"/>
      <c r="E28" s="22"/>
    </row>
    <row r="29" spans="1:5" ht="15" customHeight="1" x14ac:dyDescent="0.25">
      <c r="A29" s="150" t="s">
        <v>1</v>
      </c>
      <c r="B29" s="150" t="s">
        <v>2</v>
      </c>
      <c r="C29" s="150" t="s">
        <v>3</v>
      </c>
      <c r="D29" s="144" t="s">
        <v>5</v>
      </c>
    </row>
    <row r="30" spans="1:5" ht="15" customHeight="1" x14ac:dyDescent="0.25">
      <c r="A30" s="150"/>
      <c r="B30" s="150"/>
      <c r="C30" s="150"/>
      <c r="D30" s="144"/>
      <c r="E30" s="146" t="s">
        <v>227</v>
      </c>
    </row>
    <row r="31" spans="1:5" ht="15.75" x14ac:dyDescent="0.25">
      <c r="A31" s="149" t="s">
        <v>236</v>
      </c>
      <c r="B31" s="149"/>
      <c r="C31" s="149"/>
      <c r="D31" s="25"/>
      <c r="E31" s="146"/>
    </row>
    <row r="32" spans="1:5" x14ac:dyDescent="0.25">
      <c r="A32" s="11">
        <v>1</v>
      </c>
      <c r="B32" s="11" t="s">
        <v>256</v>
      </c>
      <c r="C32" s="11" t="s">
        <v>257</v>
      </c>
      <c r="D32" s="118">
        <v>28194</v>
      </c>
      <c r="E32" s="146"/>
    </row>
    <row r="33" spans="1:6" x14ac:dyDescent="0.25">
      <c r="A33" s="11">
        <v>1</v>
      </c>
      <c r="B33" s="11" t="s">
        <v>89</v>
      </c>
      <c r="C33" s="11" t="s">
        <v>22</v>
      </c>
      <c r="D33" s="81">
        <v>52715.399999999994</v>
      </c>
      <c r="E33" s="146"/>
    </row>
    <row r="34" spans="1:6" x14ac:dyDescent="0.25">
      <c r="A34" s="11">
        <v>1</v>
      </c>
      <c r="B34" s="11" t="s">
        <v>23</v>
      </c>
      <c r="C34" s="36" t="s">
        <v>24</v>
      </c>
      <c r="D34" s="81">
        <v>178343.19999999995</v>
      </c>
      <c r="E34" s="146"/>
    </row>
    <row r="35" spans="1:6" x14ac:dyDescent="0.25">
      <c r="A35" s="11">
        <v>1</v>
      </c>
      <c r="B35" s="34" t="s">
        <v>25</v>
      </c>
      <c r="C35" s="33" t="s">
        <v>26</v>
      </c>
      <c r="D35" s="108">
        <v>104645.19999999995</v>
      </c>
      <c r="E35" s="146"/>
    </row>
    <row r="36" spans="1:6" x14ac:dyDescent="0.25">
      <c r="A36" s="11"/>
      <c r="B36" s="11"/>
      <c r="C36" s="11"/>
      <c r="D36" s="67"/>
      <c r="E36" s="146"/>
    </row>
    <row r="37" spans="1:6" x14ac:dyDescent="0.25">
      <c r="D37" s="3"/>
    </row>
    <row r="38" spans="1:6" ht="18" customHeight="1" x14ac:dyDescent="0.25">
      <c r="D38" s="3"/>
    </row>
    <row r="39" spans="1:6" ht="15" customHeight="1" x14ac:dyDescent="0.25">
      <c r="A39" s="150" t="s">
        <v>1</v>
      </c>
      <c r="B39" s="150" t="s">
        <v>2</v>
      </c>
      <c r="C39" s="150" t="s">
        <v>3</v>
      </c>
      <c r="D39" s="144" t="s">
        <v>5</v>
      </c>
    </row>
    <row r="40" spans="1:6" ht="15" customHeight="1" x14ac:dyDescent="0.25">
      <c r="A40" s="150"/>
      <c r="B40" s="150"/>
      <c r="C40" s="150"/>
      <c r="D40" s="144"/>
    </row>
    <row r="41" spans="1:6" ht="15.75" customHeight="1" x14ac:dyDescent="0.25">
      <c r="A41" s="149" t="s">
        <v>237</v>
      </c>
      <c r="B41" s="149"/>
      <c r="C41" s="149"/>
      <c r="D41" s="25"/>
      <c r="E41" s="169" t="s">
        <v>27</v>
      </c>
    </row>
    <row r="42" spans="1:6" x14ac:dyDescent="0.25">
      <c r="A42" s="11">
        <v>1</v>
      </c>
      <c r="B42" s="11" t="s">
        <v>141</v>
      </c>
      <c r="C42" s="11" t="s">
        <v>120</v>
      </c>
      <c r="D42" s="14">
        <v>6198</v>
      </c>
      <c r="E42" s="169"/>
    </row>
    <row r="43" spans="1:6" x14ac:dyDescent="0.25">
      <c r="A43" s="11">
        <v>1</v>
      </c>
      <c r="B43" s="11" t="s">
        <v>94</v>
      </c>
      <c r="C43" s="11" t="s">
        <v>95</v>
      </c>
      <c r="D43" s="14">
        <v>6781.5</v>
      </c>
      <c r="E43" s="169"/>
      <c r="F43" s="53"/>
    </row>
    <row r="44" spans="1:6" x14ac:dyDescent="0.25">
      <c r="A44" s="11">
        <v>1</v>
      </c>
      <c r="B44" s="11" t="s">
        <v>97</v>
      </c>
      <c r="C44" s="11" t="s">
        <v>98</v>
      </c>
      <c r="D44" s="14">
        <v>8442.5</v>
      </c>
      <c r="E44" s="169"/>
    </row>
    <row r="45" spans="1:6" x14ac:dyDescent="0.25">
      <c r="A45" s="11">
        <v>1</v>
      </c>
      <c r="B45" s="11" t="s">
        <v>156</v>
      </c>
      <c r="C45" s="11" t="s">
        <v>29</v>
      </c>
      <c r="D45" s="119">
        <v>33104</v>
      </c>
      <c r="E45" s="169"/>
    </row>
    <row r="46" spans="1:6" x14ac:dyDescent="0.25">
      <c r="A46" s="11">
        <v>1</v>
      </c>
      <c r="B46" s="11" t="s">
        <v>30</v>
      </c>
      <c r="C46" s="11" t="s">
        <v>31</v>
      </c>
      <c r="D46" s="14">
        <v>44000</v>
      </c>
      <c r="E46" s="169"/>
    </row>
    <row r="47" spans="1:6" x14ac:dyDescent="0.25">
      <c r="A47" s="11"/>
      <c r="B47" s="11"/>
      <c r="C47" s="11"/>
      <c r="D47" s="67"/>
      <c r="E47" s="169"/>
    </row>
    <row r="48" spans="1:6" x14ac:dyDescent="0.25">
      <c r="D48"/>
    </row>
    <row r="49" spans="1:5" x14ac:dyDescent="0.25">
      <c r="D49" s="6"/>
    </row>
    <row r="50" spans="1:5" ht="15" customHeight="1" x14ac:dyDescent="0.25">
      <c r="A50" s="150" t="s">
        <v>1</v>
      </c>
      <c r="B50" s="150" t="s">
        <v>2</v>
      </c>
      <c r="C50" s="150" t="s">
        <v>3</v>
      </c>
      <c r="D50" s="144" t="s">
        <v>5</v>
      </c>
    </row>
    <row r="51" spans="1:5" ht="15" customHeight="1" x14ac:dyDescent="0.25">
      <c r="A51" s="150"/>
      <c r="B51" s="150"/>
      <c r="C51" s="150"/>
      <c r="D51" s="144"/>
    </row>
    <row r="52" spans="1:5" ht="15.75" x14ac:dyDescent="0.25">
      <c r="A52" s="149" t="s">
        <v>157</v>
      </c>
      <c r="B52" s="149"/>
      <c r="C52" s="149"/>
      <c r="D52" s="25"/>
      <c r="E52" s="169" t="s">
        <v>80</v>
      </c>
    </row>
    <row r="53" spans="1:5" x14ac:dyDescent="0.25">
      <c r="A53" s="11">
        <v>1</v>
      </c>
      <c r="B53" s="11" t="s">
        <v>100</v>
      </c>
      <c r="C53" s="11" t="s">
        <v>101</v>
      </c>
      <c r="D53" s="14">
        <v>4595.5</v>
      </c>
      <c r="E53" s="169"/>
    </row>
    <row r="54" spans="1:5" x14ac:dyDescent="0.25">
      <c r="A54" s="11">
        <v>1</v>
      </c>
      <c r="B54" s="11" t="s">
        <v>125</v>
      </c>
      <c r="C54" s="11" t="s">
        <v>126</v>
      </c>
      <c r="D54" s="14">
        <v>8906.5</v>
      </c>
      <c r="E54" s="169"/>
    </row>
    <row r="55" spans="1:5" x14ac:dyDescent="0.25">
      <c r="A55" s="11">
        <v>1</v>
      </c>
      <c r="B55" s="11" t="s">
        <v>124</v>
      </c>
      <c r="C55" s="11" t="s">
        <v>102</v>
      </c>
      <c r="D55" s="14">
        <v>10470</v>
      </c>
      <c r="E55" s="169"/>
    </row>
    <row r="56" spans="1:5" x14ac:dyDescent="0.25">
      <c r="A56" s="11">
        <v>1</v>
      </c>
      <c r="B56" s="11" t="s">
        <v>123</v>
      </c>
      <c r="C56" s="11" t="s">
        <v>103</v>
      </c>
      <c r="D56" s="14">
        <v>11218.5</v>
      </c>
      <c r="E56" s="169"/>
    </row>
    <row r="57" spans="1:5" x14ac:dyDescent="0.25">
      <c r="A57" s="11">
        <v>1</v>
      </c>
      <c r="B57" s="11" t="s">
        <v>104</v>
      </c>
      <c r="C57" s="11" t="s">
        <v>105</v>
      </c>
      <c r="D57" s="14">
        <v>24616</v>
      </c>
      <c r="E57" s="169"/>
    </row>
    <row r="58" spans="1:5" x14ac:dyDescent="0.25">
      <c r="D58" s="3"/>
    </row>
    <row r="59" spans="1:5" x14ac:dyDescent="0.25">
      <c r="D59"/>
    </row>
    <row r="60" spans="1:5" ht="15" customHeight="1" x14ac:dyDescent="0.25">
      <c r="A60" s="150" t="s">
        <v>1</v>
      </c>
      <c r="B60" s="150" t="s">
        <v>2</v>
      </c>
      <c r="C60" s="150" t="s">
        <v>3</v>
      </c>
      <c r="D60" s="144" t="s">
        <v>5</v>
      </c>
    </row>
    <row r="61" spans="1:5" ht="15" customHeight="1" x14ac:dyDescent="0.25">
      <c r="A61" s="150"/>
      <c r="B61" s="150"/>
      <c r="C61" s="150"/>
      <c r="D61" s="144"/>
    </row>
    <row r="62" spans="1:5" ht="15.75" customHeight="1" x14ac:dyDescent="0.25">
      <c r="A62" s="149" t="s">
        <v>238</v>
      </c>
      <c r="B62" s="149"/>
      <c r="C62" s="149"/>
      <c r="D62" s="25"/>
      <c r="E62" s="147" t="s">
        <v>42</v>
      </c>
    </row>
    <row r="63" spans="1:5" x14ac:dyDescent="0.25">
      <c r="A63" s="11">
        <v>1</v>
      </c>
      <c r="B63" s="11" t="s">
        <v>133</v>
      </c>
      <c r="C63" s="11" t="s">
        <v>134</v>
      </c>
      <c r="D63" s="14">
        <v>8480</v>
      </c>
      <c r="E63" s="147"/>
    </row>
    <row r="64" spans="1:5" x14ac:dyDescent="0.25">
      <c r="A64" s="11">
        <v>1</v>
      </c>
      <c r="B64" s="11" t="s">
        <v>129</v>
      </c>
      <c r="C64" s="11" t="s">
        <v>130</v>
      </c>
      <c r="D64" s="14">
        <v>13028</v>
      </c>
      <c r="E64" s="147"/>
    </row>
    <row r="65" spans="1:6" x14ac:dyDescent="0.25">
      <c r="A65" s="11">
        <v>1</v>
      </c>
      <c r="B65" s="11" t="s">
        <v>127</v>
      </c>
      <c r="C65" s="11" t="s">
        <v>128</v>
      </c>
      <c r="D65" s="14">
        <v>14070.5</v>
      </c>
      <c r="E65" s="147"/>
    </row>
    <row r="66" spans="1:6" x14ac:dyDescent="0.25">
      <c r="A66" s="11">
        <v>1</v>
      </c>
      <c r="B66" s="11" t="s">
        <v>131</v>
      </c>
      <c r="C66" s="11" t="s">
        <v>132</v>
      </c>
      <c r="D66" s="14">
        <v>23773</v>
      </c>
      <c r="E66" s="147"/>
    </row>
    <row r="68" spans="1:6" ht="15" customHeight="1" x14ac:dyDescent="0.25">
      <c r="D68" s="3"/>
    </row>
    <row r="69" spans="1:6" ht="15" customHeight="1" x14ac:dyDescent="0.25">
      <c r="A69" s="150" t="s">
        <v>1</v>
      </c>
      <c r="B69" s="150" t="s">
        <v>2</v>
      </c>
      <c r="C69" s="150" t="s">
        <v>3</v>
      </c>
      <c r="D69" s="144" t="s">
        <v>5</v>
      </c>
    </row>
    <row r="70" spans="1:6" ht="15.75" customHeight="1" x14ac:dyDescent="0.25">
      <c r="A70" s="150"/>
      <c r="B70" s="150"/>
      <c r="C70" s="150"/>
      <c r="D70" s="144"/>
      <c r="E70" s="147" t="s">
        <v>51</v>
      </c>
    </row>
    <row r="71" spans="1:6" ht="15.75" x14ac:dyDescent="0.25">
      <c r="A71" s="149" t="s">
        <v>52</v>
      </c>
      <c r="B71" s="149"/>
      <c r="C71" s="149"/>
      <c r="D71" s="25"/>
      <c r="E71" s="147"/>
    </row>
    <row r="72" spans="1:6" ht="15.75" x14ac:dyDescent="0.25">
      <c r="A72" s="25"/>
      <c r="B72" s="25"/>
      <c r="C72" s="25"/>
      <c r="D72" s="25"/>
      <c r="E72" s="147"/>
    </row>
    <row r="73" spans="1:6" x14ac:dyDescent="0.25">
      <c r="A73" s="11">
        <v>1</v>
      </c>
      <c r="B73" s="11" t="s">
        <v>106</v>
      </c>
      <c r="C73" s="11" t="s">
        <v>54</v>
      </c>
      <c r="D73" s="14">
        <v>1232</v>
      </c>
      <c r="E73" s="147"/>
    </row>
    <row r="74" spans="1:6" x14ac:dyDescent="0.25">
      <c r="A74" s="11">
        <v>1</v>
      </c>
      <c r="B74" s="11" t="s">
        <v>83</v>
      </c>
      <c r="C74" s="11" t="s">
        <v>57</v>
      </c>
      <c r="D74" s="14">
        <v>720</v>
      </c>
      <c r="E74" s="147"/>
    </row>
    <row r="75" spans="1:6" x14ac:dyDescent="0.25">
      <c r="A75" s="11"/>
      <c r="B75" s="11"/>
      <c r="C75" s="11"/>
      <c r="D75" s="67"/>
      <c r="E75" s="147"/>
    </row>
    <row r="76" spans="1:6" x14ac:dyDescent="0.25">
      <c r="D76"/>
    </row>
    <row r="77" spans="1:6" ht="18" x14ac:dyDescent="0.25">
      <c r="A77" s="4"/>
      <c r="C77" s="106" t="s">
        <v>54</v>
      </c>
      <c r="D77"/>
      <c r="F77" s="4"/>
    </row>
    <row r="78" spans="1:6" x14ac:dyDescent="0.25">
      <c r="D78"/>
    </row>
    <row r="79" spans="1:6" x14ac:dyDescent="0.25">
      <c r="D79"/>
    </row>
    <row r="80" spans="1:6" x14ac:dyDescent="0.25">
      <c r="D80"/>
    </row>
    <row r="81" spans="3:4" x14ac:dyDescent="0.25">
      <c r="D81"/>
    </row>
    <row r="82" spans="3:4" x14ac:dyDescent="0.25">
      <c r="D82"/>
    </row>
    <row r="83" spans="3:4" x14ac:dyDescent="0.25">
      <c r="D83"/>
    </row>
    <row r="84" spans="3:4" x14ac:dyDescent="0.25">
      <c r="D84"/>
    </row>
    <row r="85" spans="3:4" x14ac:dyDescent="0.25">
      <c r="D85"/>
    </row>
    <row r="86" spans="3:4" x14ac:dyDescent="0.25">
      <c r="D86"/>
    </row>
    <row r="87" spans="3:4" x14ac:dyDescent="0.25">
      <c r="D87"/>
    </row>
    <row r="88" spans="3:4" x14ac:dyDescent="0.25">
      <c r="C88" s="106" t="s">
        <v>59</v>
      </c>
      <c r="D88"/>
    </row>
    <row r="89" spans="3:4" x14ac:dyDescent="0.25">
      <c r="D89"/>
    </row>
    <row r="90" spans="3:4" x14ac:dyDescent="0.25">
      <c r="D90"/>
    </row>
    <row r="91" spans="3:4" x14ac:dyDescent="0.25">
      <c r="D91"/>
    </row>
    <row r="92" spans="3:4" x14ac:dyDescent="0.25">
      <c r="D92"/>
    </row>
    <row r="93" spans="3:4" x14ac:dyDescent="0.25">
      <c r="D93"/>
    </row>
    <row r="94" spans="3:4" x14ac:dyDescent="0.25">
      <c r="D94"/>
    </row>
    <row r="95" spans="3:4" x14ac:dyDescent="0.25">
      <c r="D95"/>
    </row>
    <row r="96" spans="3:4" x14ac:dyDescent="0.25">
      <c r="D96"/>
    </row>
    <row r="97" spans="4:4" x14ac:dyDescent="0.25">
      <c r="D97"/>
    </row>
    <row r="98" spans="4:4" x14ac:dyDescent="0.25">
      <c r="D98" s="8"/>
    </row>
    <row r="99" spans="4:4" x14ac:dyDescent="0.25">
      <c r="D99" s="8"/>
    </row>
  </sheetData>
  <mergeCells count="44">
    <mergeCell ref="B7:C8"/>
    <mergeCell ref="A10:A11"/>
    <mergeCell ref="B10:B11"/>
    <mergeCell ref="C10:C11"/>
    <mergeCell ref="D10:D11"/>
    <mergeCell ref="E12:E14"/>
    <mergeCell ref="A14:B14"/>
    <mergeCell ref="A16:A17"/>
    <mergeCell ref="B16:B17"/>
    <mergeCell ref="C16:C17"/>
    <mergeCell ref="D16:D17"/>
    <mergeCell ref="A12:C12"/>
    <mergeCell ref="B50:B51"/>
    <mergeCell ref="C50:C51"/>
    <mergeCell ref="A18:C18"/>
    <mergeCell ref="E19:E27"/>
    <mergeCell ref="A29:A30"/>
    <mergeCell ref="B29:B30"/>
    <mergeCell ref="C29:C30"/>
    <mergeCell ref="D29:D30"/>
    <mergeCell ref="E30:E36"/>
    <mergeCell ref="A31:C31"/>
    <mergeCell ref="E41:E47"/>
    <mergeCell ref="A39:A40"/>
    <mergeCell ref="B39:B40"/>
    <mergeCell ref="C39:C40"/>
    <mergeCell ref="D39:D40"/>
    <mergeCell ref="A41:C41"/>
    <mergeCell ref="E70:E75"/>
    <mergeCell ref="A71:C71"/>
    <mergeCell ref="D50:D51"/>
    <mergeCell ref="A52:C52"/>
    <mergeCell ref="A69:A70"/>
    <mergeCell ref="B69:B70"/>
    <mergeCell ref="C69:C70"/>
    <mergeCell ref="D69:D70"/>
    <mergeCell ref="A62:C62"/>
    <mergeCell ref="E62:E66"/>
    <mergeCell ref="E52:E57"/>
    <mergeCell ref="A60:A61"/>
    <mergeCell ref="B60:B61"/>
    <mergeCell ref="C60:C61"/>
    <mergeCell ref="D60:D61"/>
    <mergeCell ref="A50:A5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F3C1C-BB1A-4B29-A1E4-4F1455D2554B}">
  <sheetPr>
    <tabColor theme="4" tint="0.39997558519241921"/>
  </sheetPr>
  <dimension ref="A9:G105"/>
  <sheetViews>
    <sheetView topLeftCell="A22" workbookViewId="0">
      <selection activeCell="D49" sqref="D49"/>
    </sheetView>
  </sheetViews>
  <sheetFormatPr defaultRowHeight="15" x14ac:dyDescent="0.25"/>
  <cols>
    <col min="2" max="2" width="15.28515625" bestFit="1" customWidth="1"/>
    <col min="3" max="3" width="86.85546875" bestFit="1" customWidth="1"/>
    <col min="4" max="4" width="20.42578125" style="2" customWidth="1"/>
    <col min="5" max="5" width="40.7109375" customWidth="1"/>
  </cols>
  <sheetData>
    <row r="9" spans="1:7" x14ac:dyDescent="0.25">
      <c r="B9" s="153"/>
      <c r="C9" s="153"/>
      <c r="D9" s="24"/>
    </row>
    <row r="10" spans="1:7" x14ac:dyDescent="0.25">
      <c r="B10" s="153"/>
      <c r="C10" s="153"/>
      <c r="D10" s="24"/>
    </row>
    <row r="11" spans="1:7" ht="26.25" customHeight="1" x14ac:dyDescent="0.25">
      <c r="B11" s="153"/>
      <c r="C11" s="153"/>
      <c r="D11" s="24"/>
    </row>
    <row r="13" spans="1:7" ht="15" customHeight="1" x14ac:dyDescent="0.25">
      <c r="A13" s="150" t="s">
        <v>1</v>
      </c>
      <c r="B13" s="150" t="s">
        <v>2</v>
      </c>
      <c r="C13" s="150" t="s">
        <v>3</v>
      </c>
      <c r="D13" s="144" t="s">
        <v>5</v>
      </c>
    </row>
    <row r="14" spans="1:7" ht="15" customHeight="1" x14ac:dyDescent="0.25">
      <c r="A14" s="150"/>
      <c r="B14" s="150"/>
      <c r="C14" s="150"/>
      <c r="D14" s="144"/>
      <c r="G14" s="8">
        <v>0.4</v>
      </c>
    </row>
    <row r="15" spans="1:7" ht="15" customHeight="1" x14ac:dyDescent="0.25">
      <c r="A15" s="154" t="s">
        <v>147</v>
      </c>
      <c r="B15" s="154"/>
      <c r="C15" s="154"/>
      <c r="D15" s="26"/>
    </row>
    <row r="16" spans="1:7" ht="40.5" customHeight="1" x14ac:dyDescent="0.25">
      <c r="A16" s="17"/>
      <c r="B16" s="17" t="s">
        <v>161</v>
      </c>
      <c r="C16" s="17" t="s">
        <v>162</v>
      </c>
      <c r="D16" s="141"/>
      <c r="E16" s="156" t="s">
        <v>135</v>
      </c>
    </row>
    <row r="17" spans="1:5" x14ac:dyDescent="0.25">
      <c r="A17" s="17"/>
      <c r="B17" s="17"/>
      <c r="C17" s="17" t="s">
        <v>62</v>
      </c>
      <c r="D17" s="142">
        <v>110000</v>
      </c>
      <c r="E17" s="156"/>
    </row>
    <row r="18" spans="1:5" x14ac:dyDescent="0.25">
      <c r="D18" s="8"/>
    </row>
    <row r="19" spans="1:5" x14ac:dyDescent="0.25">
      <c r="A19" s="150" t="s">
        <v>1</v>
      </c>
      <c r="B19" s="150" t="s">
        <v>2</v>
      </c>
      <c r="C19" s="150" t="s">
        <v>3</v>
      </c>
      <c r="D19" s="144" t="s">
        <v>5</v>
      </c>
    </row>
    <row r="20" spans="1:5" x14ac:dyDescent="0.25">
      <c r="A20" s="150"/>
      <c r="B20" s="150"/>
      <c r="C20" s="150"/>
      <c r="D20" s="144"/>
    </row>
    <row r="21" spans="1:5" ht="15.75" x14ac:dyDescent="0.25">
      <c r="A21" s="149" t="s">
        <v>158</v>
      </c>
      <c r="B21" s="149"/>
      <c r="C21" s="149"/>
      <c r="D21" s="3"/>
    </row>
    <row r="22" spans="1:5" ht="15" customHeight="1" x14ac:dyDescent="0.25">
      <c r="A22" s="43" t="s">
        <v>11</v>
      </c>
      <c r="B22" s="44" t="s">
        <v>213</v>
      </c>
      <c r="C22" s="44" t="s">
        <v>163</v>
      </c>
      <c r="D22" s="97">
        <f>33269/2</f>
        <v>16634.5</v>
      </c>
      <c r="E22" s="169" t="s">
        <v>137</v>
      </c>
    </row>
    <row r="23" spans="1:5" x14ac:dyDescent="0.25">
      <c r="A23" s="43" t="s">
        <v>11</v>
      </c>
      <c r="B23" s="44" t="s">
        <v>12</v>
      </c>
      <c r="C23" s="44" t="s">
        <v>13</v>
      </c>
      <c r="D23" s="97">
        <f>46560/2</f>
        <v>23280</v>
      </c>
      <c r="E23" s="169"/>
    </row>
    <row r="24" spans="1:5" x14ac:dyDescent="0.25">
      <c r="A24" s="43" t="s">
        <v>11</v>
      </c>
      <c r="B24" s="44" t="s">
        <v>16</v>
      </c>
      <c r="C24" s="44" t="s">
        <v>17</v>
      </c>
      <c r="D24" s="97">
        <f>52529/2</f>
        <v>26264.5</v>
      </c>
      <c r="E24" s="169"/>
    </row>
    <row r="25" spans="1:5" x14ac:dyDescent="0.25">
      <c r="A25" s="43" t="s">
        <v>11</v>
      </c>
      <c r="B25" s="44" t="s">
        <v>18</v>
      </c>
      <c r="C25" s="44" t="s">
        <v>19</v>
      </c>
      <c r="D25" s="97">
        <f>70756/2</f>
        <v>35378</v>
      </c>
      <c r="E25" s="169"/>
    </row>
    <row r="26" spans="1:5" x14ac:dyDescent="0.25">
      <c r="A26" s="43" t="s">
        <v>11</v>
      </c>
      <c r="B26" s="44" t="s">
        <v>20</v>
      </c>
      <c r="C26" s="44" t="s">
        <v>21</v>
      </c>
      <c r="D26" s="97">
        <f>80386/2</f>
        <v>40193</v>
      </c>
      <c r="E26" s="169"/>
    </row>
    <row r="27" spans="1:5" x14ac:dyDescent="0.25">
      <c r="A27" s="43" t="s">
        <v>11</v>
      </c>
      <c r="B27" s="44" t="s">
        <v>14</v>
      </c>
      <c r="C27" s="44" t="s">
        <v>15</v>
      </c>
      <c r="D27" s="107">
        <f>115525/2</f>
        <v>57762.5</v>
      </c>
      <c r="E27" s="169"/>
    </row>
    <row r="28" spans="1:5" x14ac:dyDescent="0.25">
      <c r="A28" s="11"/>
      <c r="B28" s="11"/>
      <c r="C28" s="11"/>
      <c r="D28" s="67"/>
      <c r="E28" s="169"/>
    </row>
    <row r="29" spans="1:5" x14ac:dyDescent="0.25">
      <c r="D29" s="3"/>
      <c r="E29" s="22"/>
    </row>
    <row r="30" spans="1:5" x14ac:dyDescent="0.25">
      <c r="E30" s="22"/>
    </row>
    <row r="31" spans="1:5" ht="15" customHeight="1" x14ac:dyDescent="0.25">
      <c r="A31" s="150" t="s">
        <v>1</v>
      </c>
      <c r="B31" s="150" t="s">
        <v>2</v>
      </c>
      <c r="C31" s="150" t="s">
        <v>3</v>
      </c>
      <c r="D31" s="144" t="s">
        <v>5</v>
      </c>
      <c r="E31" s="22"/>
    </row>
    <row r="32" spans="1:5" x14ac:dyDescent="0.25">
      <c r="A32" s="150"/>
      <c r="B32" s="150"/>
      <c r="C32" s="150"/>
      <c r="D32" s="144"/>
    </row>
    <row r="33" spans="1:5" ht="15" customHeight="1" x14ac:dyDescent="0.25">
      <c r="A33" s="149" t="s">
        <v>239</v>
      </c>
      <c r="B33" s="149"/>
      <c r="C33" s="149"/>
      <c r="D33" s="3"/>
      <c r="E33" s="146" t="s">
        <v>138</v>
      </c>
    </row>
    <row r="34" spans="1:5" ht="15" customHeight="1" x14ac:dyDescent="0.25">
      <c r="A34" s="11">
        <v>1</v>
      </c>
      <c r="B34" s="11" t="s">
        <v>256</v>
      </c>
      <c r="C34" s="11" t="s">
        <v>257</v>
      </c>
      <c r="D34" s="118">
        <v>28194</v>
      </c>
      <c r="E34" s="146"/>
    </row>
    <row r="35" spans="1:5" x14ac:dyDescent="0.25">
      <c r="A35" s="11">
        <v>1</v>
      </c>
      <c r="B35" s="11" t="s">
        <v>89</v>
      </c>
      <c r="C35" s="11" t="s">
        <v>22</v>
      </c>
      <c r="D35" s="81">
        <v>52715.399999999994</v>
      </c>
      <c r="E35" s="146"/>
    </row>
    <row r="36" spans="1:5" x14ac:dyDescent="0.25">
      <c r="A36" s="11">
        <v>1</v>
      </c>
      <c r="B36" s="36" t="s">
        <v>23</v>
      </c>
      <c r="C36" s="36" t="s">
        <v>24</v>
      </c>
      <c r="D36" s="81">
        <v>178343.19999999995</v>
      </c>
      <c r="E36" s="146"/>
    </row>
    <row r="37" spans="1:5" x14ac:dyDescent="0.25">
      <c r="A37" s="11">
        <v>1</v>
      </c>
      <c r="B37" s="11" t="s">
        <v>25</v>
      </c>
      <c r="C37" s="11" t="s">
        <v>26</v>
      </c>
      <c r="D37" s="108">
        <v>104645.19999999995</v>
      </c>
      <c r="E37" s="146"/>
    </row>
    <row r="38" spans="1:5" x14ac:dyDescent="0.25">
      <c r="A38" s="11"/>
      <c r="B38" s="11"/>
      <c r="C38" s="11"/>
      <c r="D38" s="111"/>
      <c r="E38" s="27"/>
    </row>
    <row r="39" spans="1:5" x14ac:dyDescent="0.25">
      <c r="D39"/>
    </row>
    <row r="41" spans="1:5" x14ac:dyDescent="0.25">
      <c r="A41" s="150" t="s">
        <v>1</v>
      </c>
      <c r="B41" s="150" t="s">
        <v>2</v>
      </c>
      <c r="C41" s="150" t="s">
        <v>3</v>
      </c>
      <c r="D41" s="144" t="s">
        <v>5</v>
      </c>
    </row>
    <row r="42" spans="1:5" x14ac:dyDescent="0.25">
      <c r="A42" s="150"/>
      <c r="B42" s="150"/>
      <c r="C42" s="150"/>
      <c r="D42" s="144"/>
    </row>
    <row r="43" spans="1:5" ht="15.75" x14ac:dyDescent="0.25">
      <c r="A43" s="149" t="s">
        <v>240</v>
      </c>
      <c r="B43" s="149"/>
      <c r="C43" s="149"/>
      <c r="D43" s="3"/>
    </row>
    <row r="44" spans="1:5" x14ac:dyDescent="0.25">
      <c r="A44" s="87">
        <v>1</v>
      </c>
      <c r="B44" s="68" t="s">
        <v>119</v>
      </c>
      <c r="C44" s="68" t="s">
        <v>120</v>
      </c>
      <c r="D44" s="89">
        <v>6198</v>
      </c>
      <c r="E44" s="169" t="s">
        <v>27</v>
      </c>
    </row>
    <row r="45" spans="1:5" x14ac:dyDescent="0.25">
      <c r="A45" s="87">
        <v>1</v>
      </c>
      <c r="B45" s="68" t="s">
        <v>121</v>
      </c>
      <c r="C45" s="68" t="s">
        <v>122</v>
      </c>
      <c r="D45" s="89">
        <v>6781.5</v>
      </c>
      <c r="E45" s="169"/>
    </row>
    <row r="46" spans="1:5" x14ac:dyDescent="0.25">
      <c r="A46" s="87">
        <v>1</v>
      </c>
      <c r="B46" s="68" t="s">
        <v>216</v>
      </c>
      <c r="C46" s="68" t="s">
        <v>95</v>
      </c>
      <c r="D46" s="89">
        <v>8442.5</v>
      </c>
      <c r="E46" s="169"/>
    </row>
    <row r="47" spans="1:5" x14ac:dyDescent="0.25">
      <c r="A47" s="87">
        <v>1</v>
      </c>
      <c r="B47" s="68" t="s">
        <v>215</v>
      </c>
      <c r="C47" s="68" t="s">
        <v>96</v>
      </c>
      <c r="D47" s="89">
        <v>12205</v>
      </c>
      <c r="E47" s="169"/>
    </row>
    <row r="48" spans="1:5" x14ac:dyDescent="0.25">
      <c r="A48" s="87">
        <v>1</v>
      </c>
      <c r="B48" s="68" t="s">
        <v>217</v>
      </c>
      <c r="C48" s="68" t="s">
        <v>98</v>
      </c>
      <c r="D48" s="89">
        <v>12644</v>
      </c>
      <c r="E48" s="169"/>
    </row>
    <row r="49" spans="1:5" ht="15" customHeight="1" x14ac:dyDescent="0.25">
      <c r="A49" s="87">
        <v>1</v>
      </c>
      <c r="B49" s="68" t="s">
        <v>28</v>
      </c>
      <c r="C49" s="68" t="s">
        <v>29</v>
      </c>
      <c r="D49" s="119">
        <v>33104</v>
      </c>
      <c r="E49" s="169"/>
    </row>
    <row r="50" spans="1:5" x14ac:dyDescent="0.25">
      <c r="A50" s="11"/>
      <c r="B50" s="11"/>
      <c r="C50" s="11"/>
      <c r="D50" s="67"/>
      <c r="E50" s="169"/>
    </row>
    <row r="52" spans="1:5" x14ac:dyDescent="0.25">
      <c r="A52" s="150" t="s">
        <v>1</v>
      </c>
      <c r="B52" s="150" t="s">
        <v>2</v>
      </c>
      <c r="C52" s="150" t="s">
        <v>3</v>
      </c>
      <c r="D52" s="144" t="s">
        <v>5</v>
      </c>
    </row>
    <row r="53" spans="1:5" x14ac:dyDescent="0.25">
      <c r="A53" s="150"/>
      <c r="B53" s="150"/>
      <c r="C53" s="150"/>
      <c r="D53" s="144"/>
    </row>
    <row r="54" spans="1:5" ht="15.75" x14ac:dyDescent="0.25">
      <c r="A54" s="149" t="s">
        <v>159</v>
      </c>
      <c r="B54" s="149"/>
      <c r="C54" s="149"/>
      <c r="D54" s="3"/>
    </row>
    <row r="55" spans="1:5" x14ac:dyDescent="0.25">
      <c r="A55" s="50">
        <v>1</v>
      </c>
      <c r="B55" s="48" t="s">
        <v>38</v>
      </c>
      <c r="C55" s="49" t="s">
        <v>39</v>
      </c>
      <c r="D55" s="86">
        <v>4595.5</v>
      </c>
    </row>
    <row r="56" spans="1:5" x14ac:dyDescent="0.25">
      <c r="A56" s="34">
        <v>1</v>
      </c>
      <c r="B56" s="48" t="s">
        <v>34</v>
      </c>
      <c r="C56" s="49" t="s">
        <v>35</v>
      </c>
      <c r="D56" s="85">
        <v>8906.5</v>
      </c>
    </row>
    <row r="57" spans="1:5" x14ac:dyDescent="0.25">
      <c r="A57" s="34">
        <v>1</v>
      </c>
      <c r="B57" s="46" t="s">
        <v>32</v>
      </c>
      <c r="C57" s="46" t="s">
        <v>33</v>
      </c>
      <c r="D57" s="84">
        <v>10470</v>
      </c>
    </row>
    <row r="58" spans="1:5" x14ac:dyDescent="0.25">
      <c r="A58" s="50">
        <v>1</v>
      </c>
      <c r="B58" s="48" t="s">
        <v>36</v>
      </c>
      <c r="C58" s="49" t="s">
        <v>37</v>
      </c>
      <c r="D58" s="104">
        <v>11218.5</v>
      </c>
    </row>
    <row r="59" spans="1:5" x14ac:dyDescent="0.25">
      <c r="A59" s="34">
        <v>1</v>
      </c>
      <c r="B59" s="48" t="s">
        <v>40</v>
      </c>
      <c r="C59" s="112" t="s">
        <v>41</v>
      </c>
      <c r="D59" s="113">
        <v>24616</v>
      </c>
    </row>
    <row r="60" spans="1:5" x14ac:dyDescent="0.25">
      <c r="A60" s="11"/>
      <c r="B60" s="11"/>
      <c r="C60" s="34"/>
      <c r="D60" s="67"/>
    </row>
    <row r="61" spans="1:5" x14ac:dyDescent="0.25">
      <c r="D61"/>
    </row>
    <row r="63" spans="1:5" x14ac:dyDescent="0.25">
      <c r="A63" s="150" t="s">
        <v>1</v>
      </c>
      <c r="B63" s="150" t="s">
        <v>2</v>
      </c>
      <c r="C63" s="150" t="s">
        <v>3</v>
      </c>
      <c r="D63" s="144" t="s">
        <v>5</v>
      </c>
    </row>
    <row r="64" spans="1:5" x14ac:dyDescent="0.25">
      <c r="A64" s="150"/>
      <c r="B64" s="150"/>
      <c r="C64" s="150"/>
      <c r="D64" s="144"/>
    </row>
    <row r="65" spans="1:6" ht="15.75" x14ac:dyDescent="0.25">
      <c r="A65" s="149" t="s">
        <v>160</v>
      </c>
      <c r="B65" s="149"/>
      <c r="C65" s="149"/>
      <c r="D65" s="3"/>
    </row>
    <row r="66" spans="1:6" x14ac:dyDescent="0.25">
      <c r="A66" s="11">
        <v>1</v>
      </c>
      <c r="B66" s="11" t="s">
        <v>142</v>
      </c>
      <c r="C66" s="11" t="s">
        <v>134</v>
      </c>
      <c r="D66" s="14">
        <v>8480</v>
      </c>
    </row>
    <row r="67" spans="1:6" x14ac:dyDescent="0.25">
      <c r="A67" s="11">
        <v>1</v>
      </c>
      <c r="B67" s="11" t="s">
        <v>143</v>
      </c>
      <c r="C67" s="11" t="s">
        <v>130</v>
      </c>
      <c r="D67" s="14">
        <v>13028</v>
      </c>
      <c r="E67" s="146" t="s">
        <v>42</v>
      </c>
    </row>
    <row r="68" spans="1:6" ht="15" customHeight="1" x14ac:dyDescent="0.25">
      <c r="A68" s="11">
        <v>1</v>
      </c>
      <c r="B68" s="11" t="s">
        <v>144</v>
      </c>
      <c r="C68" s="11" t="s">
        <v>128</v>
      </c>
      <c r="D68" s="14">
        <v>14070.5</v>
      </c>
      <c r="E68" s="146"/>
    </row>
    <row r="69" spans="1:6" x14ac:dyDescent="0.25">
      <c r="A69" s="11">
        <v>1</v>
      </c>
      <c r="B69" s="11" t="s">
        <v>145</v>
      </c>
      <c r="C69" s="11" t="s">
        <v>132</v>
      </c>
      <c r="D69" s="14">
        <v>23773</v>
      </c>
      <c r="E69" s="146"/>
    </row>
    <row r="70" spans="1:6" x14ac:dyDescent="0.25">
      <c r="A70" s="11"/>
      <c r="B70" s="11"/>
      <c r="C70" s="11"/>
      <c r="D70" s="67"/>
    </row>
    <row r="71" spans="1:6" x14ac:dyDescent="0.25">
      <c r="D71"/>
    </row>
    <row r="72" spans="1:6" ht="15" customHeight="1" x14ac:dyDescent="0.25">
      <c r="A72" s="150" t="s">
        <v>1</v>
      </c>
      <c r="B72" s="150" t="s">
        <v>2</v>
      </c>
      <c r="C72" s="150" t="s">
        <v>3</v>
      </c>
      <c r="D72" s="144" t="s">
        <v>5</v>
      </c>
    </row>
    <row r="73" spans="1:6" ht="15" customHeight="1" x14ac:dyDescent="0.25">
      <c r="A73" s="150"/>
      <c r="B73" s="150"/>
      <c r="C73" s="150"/>
      <c r="D73" s="144"/>
      <c r="E73" s="147" t="s">
        <v>51</v>
      </c>
      <c r="F73" s="146"/>
    </row>
    <row r="74" spans="1:6" ht="15.75" x14ac:dyDescent="0.25">
      <c r="A74" s="149" t="s">
        <v>52</v>
      </c>
      <c r="B74" s="149"/>
      <c r="C74" s="149"/>
      <c r="D74" s="25"/>
      <c r="E74" s="147"/>
      <c r="F74" s="146"/>
    </row>
    <row r="75" spans="1:6" x14ac:dyDescent="0.25">
      <c r="A75" s="11">
        <v>1</v>
      </c>
      <c r="B75" s="11" t="s">
        <v>106</v>
      </c>
      <c r="C75" s="11" t="s">
        <v>54</v>
      </c>
      <c r="D75" s="14">
        <v>1232</v>
      </c>
      <c r="E75" s="147"/>
      <c r="F75" s="146"/>
    </row>
    <row r="76" spans="1:6" x14ac:dyDescent="0.25">
      <c r="A76" s="11">
        <v>1</v>
      </c>
      <c r="B76" s="11" t="s">
        <v>83</v>
      </c>
      <c r="C76" s="11" t="s">
        <v>57</v>
      </c>
      <c r="D76" s="14">
        <v>720</v>
      </c>
      <c r="E76" s="147"/>
      <c r="F76" s="146"/>
    </row>
    <row r="77" spans="1:6" x14ac:dyDescent="0.25">
      <c r="A77" s="11"/>
      <c r="B77" s="11"/>
      <c r="C77" s="11"/>
      <c r="D77" s="67"/>
      <c r="E77" s="147"/>
      <c r="F77" s="146"/>
    </row>
    <row r="78" spans="1:6" x14ac:dyDescent="0.25">
      <c r="D78"/>
    </row>
    <row r="79" spans="1:6" ht="15" customHeight="1" x14ac:dyDescent="0.25">
      <c r="A79" s="4"/>
      <c r="C79" s="106" t="s">
        <v>54</v>
      </c>
      <c r="D79"/>
      <c r="F79" s="4"/>
    </row>
    <row r="80" spans="1:6" x14ac:dyDescent="0.25">
      <c r="D80"/>
    </row>
    <row r="81" spans="3:4" x14ac:dyDescent="0.25">
      <c r="D81"/>
    </row>
    <row r="82" spans="3:4" x14ac:dyDescent="0.25">
      <c r="D82"/>
    </row>
    <row r="83" spans="3:4" x14ac:dyDescent="0.25">
      <c r="D83"/>
    </row>
    <row r="84" spans="3:4" x14ac:dyDescent="0.25">
      <c r="D84"/>
    </row>
    <row r="85" spans="3:4" x14ac:dyDescent="0.25">
      <c r="D85"/>
    </row>
    <row r="86" spans="3:4" x14ac:dyDescent="0.25">
      <c r="D86"/>
    </row>
    <row r="87" spans="3:4" x14ac:dyDescent="0.25">
      <c r="D87"/>
    </row>
    <row r="88" spans="3:4" x14ac:dyDescent="0.25">
      <c r="D88"/>
    </row>
    <row r="89" spans="3:4" x14ac:dyDescent="0.25">
      <c r="D89"/>
    </row>
    <row r="90" spans="3:4" x14ac:dyDescent="0.25">
      <c r="C90" s="106" t="s">
        <v>59</v>
      </c>
      <c r="D90"/>
    </row>
    <row r="91" spans="3:4" x14ac:dyDescent="0.25">
      <c r="D91"/>
    </row>
    <row r="92" spans="3:4" x14ac:dyDescent="0.25">
      <c r="D92"/>
    </row>
    <row r="93" spans="3:4" x14ac:dyDescent="0.25">
      <c r="D93"/>
    </row>
    <row r="94" spans="3:4" x14ac:dyDescent="0.25">
      <c r="D94"/>
    </row>
    <row r="95" spans="3:4" x14ac:dyDescent="0.25">
      <c r="D95"/>
    </row>
    <row r="96" spans="3:4" x14ac:dyDescent="0.25">
      <c r="D96"/>
    </row>
    <row r="97" spans="4:4" x14ac:dyDescent="0.25">
      <c r="D97"/>
    </row>
    <row r="98" spans="4:4" x14ac:dyDescent="0.25">
      <c r="D98"/>
    </row>
    <row r="99" spans="4:4" x14ac:dyDescent="0.25">
      <c r="D99"/>
    </row>
    <row r="100" spans="4:4" x14ac:dyDescent="0.25">
      <c r="D100"/>
    </row>
    <row r="101" spans="4:4" x14ac:dyDescent="0.25">
      <c r="D101" s="8"/>
    </row>
    <row r="102" spans="4:4" x14ac:dyDescent="0.25">
      <c r="D102" s="8"/>
    </row>
    <row r="103" spans="4:4" x14ac:dyDescent="0.25">
      <c r="D103" s="8"/>
    </row>
    <row r="104" spans="4:4" x14ac:dyDescent="0.25">
      <c r="D104" s="8"/>
    </row>
    <row r="105" spans="4:4" x14ac:dyDescent="0.25">
      <c r="D105" s="8"/>
    </row>
  </sheetData>
  <mergeCells count="43">
    <mergeCell ref="F73:F77"/>
    <mergeCell ref="A74:C74"/>
    <mergeCell ref="A65:C65"/>
    <mergeCell ref="E67:E69"/>
    <mergeCell ref="A72:A73"/>
    <mergeCell ref="B72:B73"/>
    <mergeCell ref="C72:C73"/>
    <mergeCell ref="D72:D73"/>
    <mergeCell ref="E73:E77"/>
    <mergeCell ref="A54:C54"/>
    <mergeCell ref="A63:A64"/>
    <mergeCell ref="B63:B64"/>
    <mergeCell ref="C63:C64"/>
    <mergeCell ref="D63:D64"/>
    <mergeCell ref="A43:C43"/>
    <mergeCell ref="E44:E50"/>
    <mergeCell ref="A52:A53"/>
    <mergeCell ref="B52:B53"/>
    <mergeCell ref="C52:C53"/>
    <mergeCell ref="D52:D53"/>
    <mergeCell ref="A33:C33"/>
    <mergeCell ref="E33:E37"/>
    <mergeCell ref="A41:A42"/>
    <mergeCell ref="B41:B42"/>
    <mergeCell ref="C41:C42"/>
    <mergeCell ref="D41:D42"/>
    <mergeCell ref="A15:C15"/>
    <mergeCell ref="A21:C21"/>
    <mergeCell ref="E22:E28"/>
    <mergeCell ref="A31:A32"/>
    <mergeCell ref="B31:B32"/>
    <mergeCell ref="C31:C32"/>
    <mergeCell ref="D31:D32"/>
    <mergeCell ref="E16:E17"/>
    <mergeCell ref="A19:A20"/>
    <mergeCell ref="B19:B20"/>
    <mergeCell ref="C19:C20"/>
    <mergeCell ref="D19:D20"/>
    <mergeCell ref="B9:C11"/>
    <mergeCell ref="A13:A14"/>
    <mergeCell ref="B13:B14"/>
    <mergeCell ref="C13:C14"/>
    <mergeCell ref="D13:D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7F0F3-8D38-4728-96A8-8F08A492E5FC}">
  <sheetPr>
    <tabColor theme="5" tint="-0.249977111117893"/>
  </sheetPr>
  <dimension ref="A9:G105"/>
  <sheetViews>
    <sheetView topLeftCell="A21" workbookViewId="0">
      <selection activeCell="D50" sqref="D50"/>
    </sheetView>
  </sheetViews>
  <sheetFormatPr defaultRowHeight="15" x14ac:dyDescent="0.25"/>
  <cols>
    <col min="2" max="2" width="15.85546875" customWidth="1"/>
    <col min="3" max="3" width="86.85546875" bestFit="1" customWidth="1"/>
    <col min="4" max="4" width="18.42578125" customWidth="1"/>
    <col min="5" max="5" width="41.42578125" customWidth="1"/>
    <col min="7" max="7" width="32" bestFit="1" customWidth="1"/>
  </cols>
  <sheetData>
    <row r="9" spans="1:6" x14ac:dyDescent="0.25">
      <c r="B9" s="153" t="s">
        <v>164</v>
      </c>
      <c r="C9" s="153"/>
      <c r="D9" s="24"/>
    </row>
    <row r="10" spans="1:6" x14ac:dyDescent="0.25">
      <c r="B10" s="153"/>
      <c r="C10" s="153"/>
      <c r="D10" s="24"/>
    </row>
    <row r="11" spans="1:6" ht="30" customHeight="1" x14ac:dyDescent="0.25">
      <c r="B11" s="153"/>
      <c r="C11" s="153"/>
      <c r="D11" s="24"/>
    </row>
    <row r="13" spans="1:6" ht="15" customHeight="1" x14ac:dyDescent="0.25">
      <c r="A13" s="150" t="s">
        <v>1</v>
      </c>
      <c r="B13" s="150" t="s">
        <v>2</v>
      </c>
      <c r="C13" s="150" t="s">
        <v>3</v>
      </c>
      <c r="D13" s="144" t="s">
        <v>5</v>
      </c>
      <c r="F13" s="9">
        <v>0.4</v>
      </c>
    </row>
    <row r="14" spans="1:6" ht="15" customHeight="1" x14ac:dyDescent="0.25">
      <c r="A14" s="150"/>
      <c r="B14" s="150"/>
      <c r="C14" s="150"/>
      <c r="D14" s="144"/>
    </row>
    <row r="15" spans="1:6" ht="15" customHeight="1" x14ac:dyDescent="0.25">
      <c r="A15" s="154" t="s">
        <v>147</v>
      </c>
      <c r="B15" s="154"/>
      <c r="C15" s="154"/>
      <c r="D15" s="26"/>
      <c r="E15" s="156" t="s">
        <v>254</v>
      </c>
    </row>
    <row r="16" spans="1:6" ht="49.5" customHeight="1" x14ac:dyDescent="0.25">
      <c r="A16" s="17">
        <v>1</v>
      </c>
      <c r="B16" s="17" t="s">
        <v>165</v>
      </c>
      <c r="C16" s="17" t="s">
        <v>166</v>
      </c>
      <c r="D16" s="114"/>
      <c r="E16" s="156"/>
    </row>
    <row r="17" spans="1:5" x14ac:dyDescent="0.25">
      <c r="A17" s="167" t="s">
        <v>62</v>
      </c>
      <c r="B17" s="168"/>
      <c r="C17" s="17"/>
      <c r="D17" s="14">
        <v>105000</v>
      </c>
      <c r="E17" s="156"/>
    </row>
    <row r="20" spans="1:5" x14ac:dyDescent="0.25">
      <c r="A20" s="150" t="s">
        <v>1</v>
      </c>
      <c r="B20" s="150" t="s">
        <v>2</v>
      </c>
      <c r="C20" s="150" t="s">
        <v>3</v>
      </c>
      <c r="D20" s="144" t="s">
        <v>5</v>
      </c>
    </row>
    <row r="21" spans="1:5" x14ac:dyDescent="0.25">
      <c r="A21" s="150"/>
      <c r="B21" s="150"/>
      <c r="C21" s="150"/>
      <c r="D21" s="144"/>
    </row>
    <row r="22" spans="1:5" ht="20.25" customHeight="1" x14ac:dyDescent="0.25">
      <c r="A22" s="149" t="s">
        <v>241</v>
      </c>
      <c r="B22" s="149"/>
      <c r="C22" s="149"/>
      <c r="D22" s="25"/>
      <c r="E22" s="169" t="s">
        <v>137</v>
      </c>
    </row>
    <row r="23" spans="1:5" ht="20.25" customHeight="1" x14ac:dyDescent="0.25">
      <c r="A23" s="74">
        <v>1</v>
      </c>
      <c r="B23" s="48" t="s">
        <v>64</v>
      </c>
      <c r="C23" s="46" t="s">
        <v>65</v>
      </c>
      <c r="D23" s="72">
        <f>30941/2</f>
        <v>15470.5</v>
      </c>
      <c r="E23" s="169"/>
    </row>
    <row r="24" spans="1:5" x14ac:dyDescent="0.25">
      <c r="A24" s="48">
        <v>1</v>
      </c>
      <c r="B24" s="48" t="s">
        <v>66</v>
      </c>
      <c r="C24" s="48" t="s">
        <v>67</v>
      </c>
      <c r="D24" s="72">
        <f>42620/2</f>
        <v>21310</v>
      </c>
      <c r="E24" s="169"/>
    </row>
    <row r="25" spans="1:5" x14ac:dyDescent="0.25">
      <c r="A25" s="48">
        <v>1</v>
      </c>
      <c r="B25" s="48" t="s">
        <v>151</v>
      </c>
      <c r="C25" s="48" t="s">
        <v>152</v>
      </c>
      <c r="D25" s="72">
        <f>48590/2</f>
        <v>24295</v>
      </c>
      <c r="E25" s="169"/>
    </row>
    <row r="26" spans="1:5" x14ac:dyDescent="0.25">
      <c r="A26" s="48">
        <v>1</v>
      </c>
      <c r="B26" s="48" t="s">
        <v>68</v>
      </c>
      <c r="C26" s="48" t="s">
        <v>69</v>
      </c>
      <c r="D26" s="72">
        <f>62797/2</f>
        <v>31398.5</v>
      </c>
      <c r="E26" s="169"/>
    </row>
    <row r="27" spans="1:5" x14ac:dyDescent="0.25">
      <c r="A27" s="48">
        <v>1</v>
      </c>
      <c r="B27" s="48" t="s">
        <v>153</v>
      </c>
      <c r="C27" s="48" t="s">
        <v>118</v>
      </c>
      <c r="D27" s="72">
        <f>75511/2</f>
        <v>37755.5</v>
      </c>
      <c r="E27" s="169"/>
    </row>
    <row r="28" spans="1:5" x14ac:dyDescent="0.25">
      <c r="A28" s="48">
        <v>1</v>
      </c>
      <c r="B28" s="48" t="s">
        <v>154</v>
      </c>
      <c r="C28" s="48" t="s">
        <v>155</v>
      </c>
      <c r="D28" s="72">
        <f>100661/2</f>
        <v>50330.5</v>
      </c>
      <c r="E28" s="169"/>
    </row>
    <row r="29" spans="1:5" x14ac:dyDescent="0.25">
      <c r="A29" s="48">
        <v>1</v>
      </c>
      <c r="B29" s="48" t="s">
        <v>70</v>
      </c>
      <c r="C29" s="48" t="s">
        <v>71</v>
      </c>
      <c r="D29" s="72">
        <f>119146/2</f>
        <v>59573</v>
      </c>
      <c r="E29" s="169"/>
    </row>
    <row r="30" spans="1:5" x14ac:dyDescent="0.25">
      <c r="A30" s="11">
        <v>1</v>
      </c>
      <c r="B30" s="48" t="s">
        <v>116</v>
      </c>
      <c r="C30" s="48" t="s">
        <v>117</v>
      </c>
      <c r="D30" s="110">
        <f>135880/2</f>
        <v>67940</v>
      </c>
      <c r="E30" s="169"/>
    </row>
    <row r="31" spans="1:5" x14ac:dyDescent="0.25">
      <c r="A31" s="11"/>
      <c r="B31" s="11"/>
      <c r="C31" s="11"/>
      <c r="D31" s="67"/>
      <c r="E31" s="169"/>
    </row>
    <row r="32" spans="1:5" x14ac:dyDescent="0.25">
      <c r="E32" s="22"/>
    </row>
    <row r="33" spans="1:7" x14ac:dyDescent="0.25">
      <c r="D33" s="6"/>
    </row>
    <row r="34" spans="1:7" ht="15" customHeight="1" x14ac:dyDescent="0.25">
      <c r="A34" s="150" t="s">
        <v>1</v>
      </c>
      <c r="B34" s="150" t="s">
        <v>2</v>
      </c>
      <c r="C34" s="150" t="s">
        <v>3</v>
      </c>
      <c r="D34" s="144" t="s">
        <v>5</v>
      </c>
      <c r="E34" s="146" t="s">
        <v>227</v>
      </c>
    </row>
    <row r="35" spans="1:7" ht="15" customHeight="1" x14ac:dyDescent="0.25">
      <c r="A35" s="150"/>
      <c r="B35" s="150"/>
      <c r="C35" s="150"/>
      <c r="D35" s="144"/>
      <c r="E35" s="146"/>
    </row>
    <row r="36" spans="1:7" ht="15.75" x14ac:dyDescent="0.25">
      <c r="A36" s="149" t="s">
        <v>242</v>
      </c>
      <c r="B36" s="149"/>
      <c r="C36" s="149"/>
      <c r="D36" s="25"/>
      <c r="E36" s="146"/>
    </row>
    <row r="37" spans="1:7" x14ac:dyDescent="0.25">
      <c r="A37" s="11">
        <v>1</v>
      </c>
      <c r="B37" s="11" t="s">
        <v>256</v>
      </c>
      <c r="C37" s="11" t="s">
        <v>257</v>
      </c>
      <c r="D37" s="118">
        <v>28194</v>
      </c>
      <c r="E37" s="146"/>
    </row>
    <row r="38" spans="1:7" x14ac:dyDescent="0.25">
      <c r="A38" s="11">
        <v>1</v>
      </c>
      <c r="B38" s="11" t="s">
        <v>89</v>
      </c>
      <c r="C38" s="11" t="s">
        <v>22</v>
      </c>
      <c r="D38" s="81">
        <v>52715.399999999994</v>
      </c>
      <c r="E38" s="146"/>
    </row>
    <row r="39" spans="1:7" x14ac:dyDescent="0.25">
      <c r="A39" s="11">
        <v>1</v>
      </c>
      <c r="B39" s="11" t="s">
        <v>23</v>
      </c>
      <c r="C39" s="36" t="s">
        <v>24</v>
      </c>
      <c r="D39" s="81">
        <v>178343.19999999995</v>
      </c>
      <c r="E39" s="146"/>
    </row>
    <row r="40" spans="1:7" x14ac:dyDescent="0.25">
      <c r="A40" s="11">
        <v>1</v>
      </c>
      <c r="B40" s="34" t="s">
        <v>25</v>
      </c>
      <c r="C40" s="33" t="s">
        <v>26</v>
      </c>
      <c r="D40" s="108">
        <v>104645.19999999995</v>
      </c>
      <c r="E40" s="146"/>
    </row>
    <row r="41" spans="1:7" x14ac:dyDescent="0.25">
      <c r="A41" s="11"/>
      <c r="B41" s="11"/>
      <c r="C41" s="11"/>
      <c r="D41" s="67"/>
    </row>
    <row r="42" spans="1:7" x14ac:dyDescent="0.25">
      <c r="D42" s="3"/>
      <c r="G42" s="55"/>
    </row>
    <row r="43" spans="1:7" x14ac:dyDescent="0.25">
      <c r="A43" s="150" t="s">
        <v>1</v>
      </c>
      <c r="B43" s="150" t="s">
        <v>2</v>
      </c>
      <c r="C43" s="150" t="s">
        <v>3</v>
      </c>
      <c r="D43" s="144" t="s">
        <v>5</v>
      </c>
    </row>
    <row r="44" spans="1:7" x14ac:dyDescent="0.25">
      <c r="A44" s="150"/>
      <c r="B44" s="150"/>
      <c r="C44" s="150"/>
      <c r="D44" s="144"/>
    </row>
    <row r="45" spans="1:7" ht="15.75" customHeight="1" x14ac:dyDescent="0.25">
      <c r="A45" s="149" t="s">
        <v>243</v>
      </c>
      <c r="B45" s="149"/>
      <c r="C45" s="149"/>
      <c r="D45" s="25"/>
      <c r="E45" s="169" t="s">
        <v>27</v>
      </c>
      <c r="G45" s="55"/>
    </row>
    <row r="46" spans="1:7" x14ac:dyDescent="0.25">
      <c r="A46" s="11">
        <v>1</v>
      </c>
      <c r="B46" s="11" t="s">
        <v>141</v>
      </c>
      <c r="C46" s="11" t="s">
        <v>120</v>
      </c>
      <c r="D46" s="14">
        <v>6198</v>
      </c>
      <c r="E46" s="169"/>
    </row>
    <row r="47" spans="1:7" x14ac:dyDescent="0.25">
      <c r="A47" s="11">
        <v>1</v>
      </c>
      <c r="B47" s="11" t="s">
        <v>94</v>
      </c>
      <c r="C47" s="11" t="s">
        <v>95</v>
      </c>
      <c r="D47" s="14">
        <v>6781.5</v>
      </c>
      <c r="E47" s="169"/>
    </row>
    <row r="48" spans="1:7" x14ac:dyDescent="0.25">
      <c r="A48" s="11">
        <v>1</v>
      </c>
      <c r="B48" s="11" t="s">
        <v>97</v>
      </c>
      <c r="C48" s="11" t="s">
        <v>98</v>
      </c>
      <c r="D48" s="14">
        <v>8442.5</v>
      </c>
      <c r="E48" s="169"/>
    </row>
    <row r="49" spans="1:5" x14ac:dyDescent="0.25">
      <c r="A49" s="11">
        <v>1</v>
      </c>
      <c r="B49" s="11" t="s">
        <v>156</v>
      </c>
      <c r="C49" s="11" t="s">
        <v>29</v>
      </c>
      <c r="D49" s="119">
        <v>33104</v>
      </c>
      <c r="E49" s="169"/>
    </row>
    <row r="50" spans="1:5" x14ac:dyDescent="0.25">
      <c r="A50" s="11">
        <v>1</v>
      </c>
      <c r="B50" s="11" t="s">
        <v>30</v>
      </c>
      <c r="C50" s="11" t="s">
        <v>31</v>
      </c>
      <c r="D50" s="14">
        <v>44000</v>
      </c>
      <c r="E50" s="169"/>
    </row>
    <row r="51" spans="1:5" x14ac:dyDescent="0.25">
      <c r="A51" s="11"/>
      <c r="B51" s="11"/>
      <c r="C51" s="11"/>
      <c r="D51" s="67"/>
      <c r="E51" s="169"/>
    </row>
    <row r="53" spans="1:5" x14ac:dyDescent="0.25">
      <c r="D53" s="6"/>
    </row>
    <row r="54" spans="1:5" x14ac:dyDescent="0.25">
      <c r="A54" s="150" t="s">
        <v>1</v>
      </c>
      <c r="B54" s="150" t="s">
        <v>2</v>
      </c>
      <c r="C54" s="150" t="s">
        <v>3</v>
      </c>
      <c r="D54" s="144" t="s">
        <v>5</v>
      </c>
    </row>
    <row r="55" spans="1:5" x14ac:dyDescent="0.25">
      <c r="A55" s="150"/>
      <c r="B55" s="150"/>
      <c r="C55" s="150"/>
      <c r="D55" s="144"/>
    </row>
    <row r="56" spans="1:5" ht="15.75" x14ac:dyDescent="0.25">
      <c r="A56" s="149" t="s">
        <v>167</v>
      </c>
      <c r="B56" s="149"/>
      <c r="C56" s="149"/>
      <c r="D56" s="25"/>
      <c r="E56" s="169" t="s">
        <v>80</v>
      </c>
    </row>
    <row r="57" spans="1:5" x14ac:dyDescent="0.25">
      <c r="A57" s="11">
        <v>1</v>
      </c>
      <c r="B57" s="11" t="s">
        <v>100</v>
      </c>
      <c r="C57" s="11" t="s">
        <v>101</v>
      </c>
      <c r="D57" s="14">
        <v>4595.5</v>
      </c>
      <c r="E57" s="169"/>
    </row>
    <row r="58" spans="1:5" x14ac:dyDescent="0.25">
      <c r="A58" s="11">
        <v>1</v>
      </c>
      <c r="B58" s="11" t="s">
        <v>125</v>
      </c>
      <c r="C58" s="11" t="s">
        <v>126</v>
      </c>
      <c r="D58" s="14">
        <v>8906.5</v>
      </c>
      <c r="E58" s="169"/>
    </row>
    <row r="59" spans="1:5" x14ac:dyDescent="0.25">
      <c r="A59" s="11">
        <v>1</v>
      </c>
      <c r="B59" s="11" t="s">
        <v>124</v>
      </c>
      <c r="C59" s="11" t="s">
        <v>102</v>
      </c>
      <c r="D59" s="14">
        <v>10470</v>
      </c>
      <c r="E59" s="169"/>
    </row>
    <row r="60" spans="1:5" x14ac:dyDescent="0.25">
      <c r="A60" s="11">
        <v>1</v>
      </c>
      <c r="B60" s="11" t="s">
        <v>123</v>
      </c>
      <c r="C60" s="11" t="s">
        <v>103</v>
      </c>
      <c r="D60" s="14">
        <v>11218.5</v>
      </c>
      <c r="E60" s="169"/>
    </row>
    <row r="61" spans="1:5" x14ac:dyDescent="0.25">
      <c r="A61" s="11">
        <v>1</v>
      </c>
      <c r="B61" s="11" t="s">
        <v>104</v>
      </c>
      <c r="C61" s="11" t="s">
        <v>105</v>
      </c>
      <c r="D61" s="14">
        <v>24616</v>
      </c>
      <c r="E61" s="169"/>
    </row>
    <row r="62" spans="1:5" ht="15" customHeight="1" x14ac:dyDescent="0.25">
      <c r="A62" s="11"/>
      <c r="B62" s="11"/>
      <c r="C62" s="11"/>
      <c r="D62" s="67"/>
    </row>
    <row r="64" spans="1:5" ht="16.5" customHeight="1" x14ac:dyDescent="0.25">
      <c r="A64" s="150" t="s">
        <v>1</v>
      </c>
      <c r="B64" s="150" t="s">
        <v>2</v>
      </c>
      <c r="C64" s="150" t="s">
        <v>3</v>
      </c>
      <c r="D64" s="144" t="s">
        <v>5</v>
      </c>
    </row>
    <row r="65" spans="1:6" x14ac:dyDescent="0.25">
      <c r="A65" s="150"/>
      <c r="B65" s="150"/>
      <c r="C65" s="150"/>
      <c r="D65" s="144"/>
    </row>
    <row r="66" spans="1:6" ht="15.75" customHeight="1" x14ac:dyDescent="0.25">
      <c r="A66" s="149" t="s">
        <v>244</v>
      </c>
      <c r="B66" s="149"/>
      <c r="C66" s="149"/>
      <c r="D66" s="25"/>
      <c r="E66" s="146" t="s">
        <v>42</v>
      </c>
    </row>
    <row r="67" spans="1:6" x14ac:dyDescent="0.25">
      <c r="A67" s="11">
        <v>1</v>
      </c>
      <c r="B67" s="11" t="s">
        <v>133</v>
      </c>
      <c r="C67" s="11" t="s">
        <v>134</v>
      </c>
      <c r="D67" s="14">
        <v>8480</v>
      </c>
      <c r="E67" s="146"/>
    </row>
    <row r="68" spans="1:6" x14ac:dyDescent="0.25">
      <c r="A68" s="11">
        <v>1</v>
      </c>
      <c r="B68" s="11" t="s">
        <v>129</v>
      </c>
      <c r="C68" s="11" t="s">
        <v>130</v>
      </c>
      <c r="D68" s="14">
        <v>13028</v>
      </c>
      <c r="E68" s="146"/>
    </row>
    <row r="69" spans="1:6" x14ac:dyDescent="0.25">
      <c r="A69" s="11">
        <v>1</v>
      </c>
      <c r="B69" s="11" t="s">
        <v>127</v>
      </c>
      <c r="C69" s="11" t="s">
        <v>128</v>
      </c>
      <c r="D69" s="14">
        <v>14070.5</v>
      </c>
      <c r="E69" s="146"/>
    </row>
    <row r="70" spans="1:6" x14ac:dyDescent="0.25">
      <c r="A70" s="11">
        <v>1</v>
      </c>
      <c r="B70" s="11" t="s">
        <v>131</v>
      </c>
      <c r="C70" s="11" t="s">
        <v>132</v>
      </c>
      <c r="D70" s="14">
        <v>23773</v>
      </c>
      <c r="E70" s="146"/>
    </row>
    <row r="71" spans="1:6" x14ac:dyDescent="0.25">
      <c r="A71" s="11"/>
      <c r="B71" s="11"/>
      <c r="C71" s="11"/>
      <c r="D71" s="67"/>
      <c r="E71" s="146"/>
    </row>
    <row r="72" spans="1:6" x14ac:dyDescent="0.25">
      <c r="D72" s="2"/>
    </row>
    <row r="73" spans="1:6" ht="15" customHeight="1" x14ac:dyDescent="0.25">
      <c r="A73" s="150" t="s">
        <v>1</v>
      </c>
      <c r="B73" s="150" t="s">
        <v>2</v>
      </c>
      <c r="C73" s="150" t="s">
        <v>3</v>
      </c>
      <c r="D73" s="144" t="s">
        <v>5</v>
      </c>
    </row>
    <row r="74" spans="1:6" ht="15" customHeight="1" x14ac:dyDescent="0.25">
      <c r="A74" s="150"/>
      <c r="B74" s="150"/>
      <c r="C74" s="150"/>
      <c r="D74" s="144"/>
      <c r="E74" s="147" t="s">
        <v>51</v>
      </c>
      <c r="F74" s="146"/>
    </row>
    <row r="75" spans="1:6" ht="15.75" x14ac:dyDescent="0.25">
      <c r="A75" s="149" t="s">
        <v>52</v>
      </c>
      <c r="B75" s="149"/>
      <c r="C75" s="149"/>
      <c r="D75" s="25"/>
      <c r="E75" s="147"/>
      <c r="F75" s="146"/>
    </row>
    <row r="76" spans="1:6" x14ac:dyDescent="0.25">
      <c r="A76" s="11">
        <v>1</v>
      </c>
      <c r="B76" s="11" t="s">
        <v>106</v>
      </c>
      <c r="C76" s="11" t="s">
        <v>54</v>
      </c>
      <c r="D76" s="14">
        <v>1232</v>
      </c>
      <c r="E76" s="147"/>
      <c r="F76" s="146"/>
    </row>
    <row r="77" spans="1:6" x14ac:dyDescent="0.25">
      <c r="A77" s="11">
        <v>1</v>
      </c>
      <c r="B77" s="11" t="s">
        <v>83</v>
      </c>
      <c r="C77" s="11" t="s">
        <v>57</v>
      </c>
      <c r="D77" s="14">
        <v>720</v>
      </c>
      <c r="E77" s="147"/>
      <c r="F77" s="146"/>
    </row>
    <row r="78" spans="1:6" x14ac:dyDescent="0.25">
      <c r="A78" s="11"/>
      <c r="B78" s="11"/>
      <c r="C78" s="11"/>
      <c r="D78" s="67"/>
      <c r="E78" s="147"/>
      <c r="F78" s="146"/>
    </row>
    <row r="80" spans="1:6" ht="18" x14ac:dyDescent="0.25">
      <c r="A80" s="4"/>
      <c r="C80" s="106" t="s">
        <v>54</v>
      </c>
      <c r="F80" s="4"/>
    </row>
    <row r="91" spans="3:3" x14ac:dyDescent="0.25">
      <c r="C91" s="106" t="s">
        <v>59</v>
      </c>
    </row>
    <row r="101" spans="4:4" x14ac:dyDescent="0.25">
      <c r="D101" s="9"/>
    </row>
    <row r="102" spans="4:4" x14ac:dyDescent="0.25">
      <c r="D102" s="9"/>
    </row>
    <row r="103" spans="4:4" x14ac:dyDescent="0.25">
      <c r="D103" s="9"/>
    </row>
    <row r="104" spans="4:4" x14ac:dyDescent="0.25">
      <c r="D104" s="9"/>
    </row>
    <row r="105" spans="4:4" x14ac:dyDescent="0.25">
      <c r="D105" s="9"/>
    </row>
  </sheetData>
  <mergeCells count="45">
    <mergeCell ref="B9:C11"/>
    <mergeCell ref="A13:A14"/>
    <mergeCell ref="B13:B14"/>
    <mergeCell ref="C13:C14"/>
    <mergeCell ref="D13:D14"/>
    <mergeCell ref="A15:C15"/>
    <mergeCell ref="E15:E17"/>
    <mergeCell ref="E22:E31"/>
    <mergeCell ref="A34:A35"/>
    <mergeCell ref="B34:B35"/>
    <mergeCell ref="C34:C35"/>
    <mergeCell ref="D34:D35"/>
    <mergeCell ref="E34:E40"/>
    <mergeCell ref="A36:C36"/>
    <mergeCell ref="A22:C22"/>
    <mergeCell ref="A17:B17"/>
    <mergeCell ref="A20:A21"/>
    <mergeCell ref="B20:B21"/>
    <mergeCell ref="C20:C21"/>
    <mergeCell ref="D20:D21"/>
    <mergeCell ref="E56:E61"/>
    <mergeCell ref="A43:A44"/>
    <mergeCell ref="B43:B44"/>
    <mergeCell ref="C43:C44"/>
    <mergeCell ref="D43:D44"/>
    <mergeCell ref="A45:C45"/>
    <mergeCell ref="E45:E51"/>
    <mergeCell ref="A54:A55"/>
    <mergeCell ref="B54:B55"/>
    <mergeCell ref="C54:C55"/>
    <mergeCell ref="D54:D55"/>
    <mergeCell ref="A56:C56"/>
    <mergeCell ref="F74:F78"/>
    <mergeCell ref="A75:C75"/>
    <mergeCell ref="A64:A65"/>
    <mergeCell ref="B64:B65"/>
    <mergeCell ref="C64:C65"/>
    <mergeCell ref="D64:D65"/>
    <mergeCell ref="A66:C66"/>
    <mergeCell ref="A73:A74"/>
    <mergeCell ref="B73:B74"/>
    <mergeCell ref="C73:C74"/>
    <mergeCell ref="D73:D74"/>
    <mergeCell ref="E74:E78"/>
    <mergeCell ref="E66:E7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B7AB3-EA48-471F-A51B-4AFC8EA43D83}">
  <sheetPr>
    <tabColor theme="5" tint="-0.249977111117893"/>
  </sheetPr>
  <dimension ref="A19:BG54"/>
  <sheetViews>
    <sheetView topLeftCell="A30" workbookViewId="0">
      <selection activeCell="F26" sqref="F26"/>
    </sheetView>
  </sheetViews>
  <sheetFormatPr defaultRowHeight="15" x14ac:dyDescent="0.25"/>
  <cols>
    <col min="1" max="1" width="13.42578125" bestFit="1" customWidth="1"/>
    <col min="2" max="2" width="89.28515625" customWidth="1"/>
    <col min="3" max="3" width="12.5703125" style="2" hidden="1" customWidth="1"/>
    <col min="4" max="4" width="17.5703125" customWidth="1"/>
    <col min="5" max="5" width="8.7109375" hidden="1" customWidth="1"/>
  </cols>
  <sheetData>
    <row r="19" spans="1:59" x14ac:dyDescent="0.25">
      <c r="B19" s="153" t="s">
        <v>168</v>
      </c>
      <c r="C19" s="153"/>
      <c r="D19" s="24"/>
    </row>
    <row r="20" spans="1:59" x14ac:dyDescent="0.25">
      <c r="B20" s="153"/>
      <c r="C20" s="153"/>
      <c r="D20" s="24"/>
    </row>
    <row r="23" spans="1:59" s="38" customFormat="1" ht="25.5" customHeight="1" x14ac:dyDescent="0.25">
      <c r="A23" s="150" t="s">
        <v>2</v>
      </c>
      <c r="B23" s="150" t="s">
        <v>3</v>
      </c>
      <c r="C23" s="150" t="s">
        <v>4</v>
      </c>
      <c r="D23" s="150" t="s">
        <v>5</v>
      </c>
      <c r="E23" s="150"/>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row>
    <row r="24" spans="1:59" s="38" customFormat="1" ht="25.5" customHeight="1" x14ac:dyDescent="0.25">
      <c r="A24" s="150"/>
      <c r="B24" s="150"/>
      <c r="C24" s="150"/>
      <c r="D24" s="150"/>
      <c r="E24" s="150"/>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row>
    <row r="25" spans="1:59" ht="14.45" customHeight="1" x14ac:dyDescent="0.25"/>
    <row r="26" spans="1:59" ht="15.75" x14ac:dyDescent="0.25">
      <c r="A26" s="150" t="s">
        <v>169</v>
      </c>
      <c r="B26" s="150"/>
      <c r="C26" s="150"/>
      <c r="D26" s="23" t="s">
        <v>5</v>
      </c>
    </row>
    <row r="27" spans="1:59" x14ac:dyDescent="0.25">
      <c r="A27" s="11" t="s">
        <v>201</v>
      </c>
      <c r="B27" s="11" t="s">
        <v>202</v>
      </c>
      <c r="C27" s="13">
        <v>72788</v>
      </c>
      <c r="D27" s="14">
        <f>84100/2</f>
        <v>42050</v>
      </c>
    </row>
    <row r="28" spans="1:59" x14ac:dyDescent="0.25">
      <c r="A28" s="11" t="s">
        <v>203</v>
      </c>
      <c r="B28" s="11" t="s">
        <v>204</v>
      </c>
      <c r="C28" s="16">
        <v>47731</v>
      </c>
      <c r="D28" s="14">
        <f>55088/2</f>
        <v>27544</v>
      </c>
    </row>
    <row r="29" spans="1:59" x14ac:dyDescent="0.25">
      <c r="A29" s="11" t="s">
        <v>205</v>
      </c>
      <c r="B29" s="11" t="s">
        <v>206</v>
      </c>
      <c r="C29" s="16">
        <v>22671</v>
      </c>
      <c r="D29" s="14">
        <f>26303/2</f>
        <v>13151.5</v>
      </c>
    </row>
    <row r="30" spans="1:59" x14ac:dyDescent="0.25">
      <c r="D30" s="10"/>
    </row>
    <row r="31" spans="1:59" ht="15.75" x14ac:dyDescent="0.25">
      <c r="A31" s="150" t="s">
        <v>170</v>
      </c>
      <c r="B31" s="150"/>
      <c r="C31" s="150"/>
      <c r="D31" s="23" t="s">
        <v>5</v>
      </c>
    </row>
    <row r="32" spans="1:59" x14ac:dyDescent="0.25">
      <c r="A32" s="11" t="s">
        <v>171</v>
      </c>
      <c r="B32" s="11" t="s">
        <v>172</v>
      </c>
      <c r="C32" s="16">
        <v>36395</v>
      </c>
      <c r="D32" s="114">
        <f>42050/2</f>
        <v>21025</v>
      </c>
    </row>
    <row r="33" spans="1:4" x14ac:dyDescent="0.25">
      <c r="A33" s="11" t="s">
        <v>173</v>
      </c>
      <c r="B33" s="11" t="s">
        <v>174</v>
      </c>
      <c r="C33" s="16">
        <v>58852</v>
      </c>
      <c r="D33" s="114">
        <f>68125/2</f>
        <v>34062.5</v>
      </c>
    </row>
    <row r="34" spans="1:4" ht="17.25" customHeight="1" x14ac:dyDescent="0.25">
      <c r="A34" s="11" t="s">
        <v>175</v>
      </c>
      <c r="B34" s="11" t="s">
        <v>176</v>
      </c>
      <c r="C34" s="16">
        <v>86492</v>
      </c>
      <c r="D34" s="114">
        <f>100075/2</f>
        <v>50037.5</v>
      </c>
    </row>
    <row r="35" spans="1:4" ht="17.25" customHeight="1" x14ac:dyDescent="0.25">
      <c r="D35" s="10"/>
    </row>
    <row r="36" spans="1:4" ht="17.25" customHeight="1" x14ac:dyDescent="0.25">
      <c r="A36" s="150" t="s">
        <v>177</v>
      </c>
      <c r="B36" s="150"/>
      <c r="C36" s="150"/>
      <c r="D36" s="23" t="s">
        <v>5</v>
      </c>
    </row>
    <row r="37" spans="1:4" ht="17.25" customHeight="1" x14ac:dyDescent="0.25">
      <c r="A37" s="11" t="s">
        <v>178</v>
      </c>
      <c r="B37" s="11" t="s">
        <v>179</v>
      </c>
      <c r="C37" s="16">
        <v>49355</v>
      </c>
      <c r="D37" s="14">
        <f>59749/2</f>
        <v>29874.5</v>
      </c>
    </row>
    <row r="38" spans="1:4" ht="17.25" customHeight="1" x14ac:dyDescent="0.25">
      <c r="A38" s="11" t="s">
        <v>180</v>
      </c>
      <c r="B38" s="11" t="s">
        <v>181</v>
      </c>
      <c r="C38" s="16">
        <v>82383</v>
      </c>
      <c r="D38" s="14">
        <f>99525/2</f>
        <v>49762.5</v>
      </c>
    </row>
    <row r="39" spans="1:4" ht="17.25" customHeight="1" x14ac:dyDescent="0.25">
      <c r="A39" s="11" t="s">
        <v>182</v>
      </c>
      <c r="B39" s="11" t="s">
        <v>183</v>
      </c>
      <c r="C39" s="16">
        <v>121209</v>
      </c>
      <c r="D39" s="14">
        <f>146389/2</f>
        <v>73194.5</v>
      </c>
    </row>
    <row r="40" spans="1:4" x14ac:dyDescent="0.25">
      <c r="D40" s="10"/>
    </row>
    <row r="41" spans="1:4" ht="15.75" x14ac:dyDescent="0.25">
      <c r="A41" s="150" t="s">
        <v>184</v>
      </c>
      <c r="B41" s="150"/>
      <c r="C41" s="150"/>
      <c r="D41" s="23" t="s">
        <v>5</v>
      </c>
    </row>
    <row r="42" spans="1:4" x14ac:dyDescent="0.25">
      <c r="A42" s="11" t="s">
        <v>207</v>
      </c>
      <c r="B42" s="11" t="s">
        <v>185</v>
      </c>
      <c r="C42" s="16">
        <v>7201</v>
      </c>
      <c r="D42" s="114">
        <f>9456/2</f>
        <v>4728</v>
      </c>
    </row>
    <row r="43" spans="1:4" x14ac:dyDescent="0.25">
      <c r="A43" s="11" t="s">
        <v>208</v>
      </c>
      <c r="B43" s="11" t="s">
        <v>186</v>
      </c>
      <c r="C43" s="16">
        <v>8074</v>
      </c>
      <c r="D43" s="114">
        <f>7864/2</f>
        <v>3932</v>
      </c>
    </row>
    <row r="44" spans="1:4" x14ac:dyDescent="0.25">
      <c r="A44" s="11" t="s">
        <v>187</v>
      </c>
      <c r="B44" s="11" t="s">
        <v>188</v>
      </c>
      <c r="C44" s="16">
        <v>7864</v>
      </c>
      <c r="D44" s="114">
        <f>7864/2</f>
        <v>3932</v>
      </c>
    </row>
    <row r="45" spans="1:4" x14ac:dyDescent="0.25">
      <c r="A45" s="11" t="s">
        <v>209</v>
      </c>
      <c r="B45" s="11" t="s">
        <v>189</v>
      </c>
      <c r="C45" s="16">
        <v>29621</v>
      </c>
      <c r="D45" s="114">
        <f>33523/2</f>
        <v>16761.5</v>
      </c>
    </row>
    <row r="46" spans="1:4" x14ac:dyDescent="0.25">
      <c r="A46" s="11" t="s">
        <v>210</v>
      </c>
      <c r="B46" s="11" t="s">
        <v>190</v>
      </c>
      <c r="C46" s="16">
        <v>4231</v>
      </c>
      <c r="D46" s="114">
        <f>4359/2</f>
        <v>2179.5</v>
      </c>
    </row>
    <row r="47" spans="1:4" x14ac:dyDescent="0.25">
      <c r="A47" s="11" t="s">
        <v>191</v>
      </c>
      <c r="B47" s="11" t="s">
        <v>192</v>
      </c>
      <c r="C47" s="16">
        <v>5959</v>
      </c>
      <c r="D47" s="114">
        <f>5969/2</f>
        <v>2984.5</v>
      </c>
    </row>
    <row r="48" spans="1:4" x14ac:dyDescent="0.25">
      <c r="A48" s="11" t="s">
        <v>193</v>
      </c>
      <c r="B48" s="11" t="s">
        <v>194</v>
      </c>
      <c r="C48" s="16">
        <v>16316</v>
      </c>
      <c r="D48" s="114">
        <f>16316/2</f>
        <v>8158</v>
      </c>
    </row>
    <row r="49" spans="1:4" x14ac:dyDescent="0.25">
      <c r="A49" s="11" t="s">
        <v>195</v>
      </c>
      <c r="B49" s="11" t="s">
        <v>196</v>
      </c>
      <c r="C49" s="16">
        <v>5401</v>
      </c>
      <c r="D49" s="114">
        <f>5401/2</f>
        <v>2700.5</v>
      </c>
    </row>
    <row r="50" spans="1:4" x14ac:dyDescent="0.25">
      <c r="A50" s="11" t="s">
        <v>197</v>
      </c>
      <c r="B50" s="11" t="s">
        <v>198</v>
      </c>
      <c r="C50" s="16">
        <v>6197</v>
      </c>
      <c r="D50" s="114">
        <f>6197/2</f>
        <v>3098.5</v>
      </c>
    </row>
    <row r="51" spans="1:4" x14ac:dyDescent="0.25">
      <c r="A51" s="11" t="s">
        <v>211</v>
      </c>
      <c r="B51" s="11" t="s">
        <v>199</v>
      </c>
      <c r="C51" s="16">
        <v>33755</v>
      </c>
      <c r="D51" s="114">
        <f>33755/2</f>
        <v>16877.5</v>
      </c>
    </row>
    <row r="52" spans="1:4" x14ac:dyDescent="0.25">
      <c r="A52" s="11" t="s">
        <v>200</v>
      </c>
      <c r="B52" s="11" t="s">
        <v>199</v>
      </c>
      <c r="C52" s="16">
        <v>32954</v>
      </c>
      <c r="D52" s="114">
        <f>32954/2</f>
        <v>16477</v>
      </c>
    </row>
    <row r="53" spans="1:4" x14ac:dyDescent="0.25">
      <c r="C53" s="6"/>
    </row>
    <row r="54" spans="1:4" x14ac:dyDescent="0.25">
      <c r="C54" s="6"/>
    </row>
  </sheetData>
  <mergeCells count="9">
    <mergeCell ref="B19:C20"/>
    <mergeCell ref="A23:A24"/>
    <mergeCell ref="B23:B24"/>
    <mergeCell ref="C23:C24"/>
    <mergeCell ref="D23:E24"/>
    <mergeCell ref="A26:C26"/>
    <mergeCell ref="A31:C31"/>
    <mergeCell ref="A36:C36"/>
    <mergeCell ref="A41:C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DL320 Gen12</vt:lpstr>
      <vt:lpstr>DL325 Gen12 </vt:lpstr>
      <vt:lpstr>DL340 Gen12</vt:lpstr>
      <vt:lpstr>DL345 Gen12</vt:lpstr>
      <vt:lpstr>DL360 Gen12</vt:lpstr>
      <vt:lpstr>DL365 Gen11</vt:lpstr>
      <vt:lpstr>DL380 Gen12</vt:lpstr>
      <vt:lpstr>DL385 Gen11</vt:lpstr>
      <vt:lpstr>Networking Aruba CX-Series</vt:lpstr>
    </vt:vector>
  </TitlesOfParts>
  <Manager/>
  <Company>Hewlett Packard Enterprise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Ntuli</dc:creator>
  <cp:keywords/>
  <dc:description/>
  <cp:lastModifiedBy>Ntuli, Christopher</cp:lastModifiedBy>
  <cp:revision/>
  <dcterms:created xsi:type="dcterms:W3CDTF">2024-08-07T18:18:08Z</dcterms:created>
  <dcterms:modified xsi:type="dcterms:W3CDTF">2026-07-07T14:05:03Z</dcterms:modified>
  <cp:category/>
  <cp:contentStatus/>
</cp:coreProperties>
</file>